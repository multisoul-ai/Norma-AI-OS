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5b5b23a01e45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选型表" sheetId="1" r:id="Rf6ad98c9a0f24db1"/>
    <x:sheet xmlns:r="http://schemas.openxmlformats.org/officeDocument/2006/relationships" name="逐轮数据" sheetId="2" r:id="R5aacc84046004b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0"/>
    <x:numFmt numFmtId="202" formatCode="0.000%"/>
    <x:numFmt numFmtId="203" formatCode="0.0"/>
  </x:numFmts>
  <x:fonts count="6">
    <x:font>
      <x:sz val="11"/>
      <x:name val="Carlito"/>
    </x:font>
    <x:font>
      <x:sz val="11"/>
      <x:color rgb="FF243247"/>
      <x:name val="Helvetica Neue"/>
    </x:font>
    <x:font>
      <x:b/>
      <x:sz val="16"/>
      <x:color rgb="FF253D63"/>
      <x:name val="Helvetica Neue"/>
    </x:font>
    <x:font>
      <x:b/>
      <x:sz val="11"/>
      <x:color rgb="FFFFFFFF"/>
      <x:name val="Helvetica Neue"/>
    </x:font>
    <x:font>
      <x:i/>
      <x:sz val="11"/>
      <x:color rgb="FF586779"/>
      <x:name val="Helvetica Neue"/>
    </x:font>
    <x:font>
      <x:b/>
      <x:sz val="11"/>
      <x:color rgb="FF253D63"/>
      <x:name val="Helvetica Neue"/>
    </x:font>
  </x:fonts>
  <x:fills count="3">
    <x:fill>
      <x:patternFill patternType="none"/>
    </x:fill>
    <x:fill>
      <x:patternFill patternType="gray125"/>
    </x:fill>
    <x:fill>
      <x:patternFill patternType="solid">
        <x:fgColor rgb="FF253D63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253D63"/>
      </x:bottom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ont>
        <x:color rgb="FF8C5500"/>
      </x:font>
      <x:fill>
        <x:patternFill patternType="solid">
          <x:bgColor rgb="FFFFF1D6"/>
        </x:patternFill>
      </x:fill>
    </x:dxf>
    <x:dxf>
      <x:font>
        <x:b/>
      </x:font>
      <x:fill>
        <x:patternFill patternType="solid">
          <x:bgColor rgb="FFE6F0E8"/>
        </x:patternFill>
      </x:fill>
    </x:dxf>
    <x:dxf>
      <x:font>
        <x:color rgb="FF8C5500"/>
      </x:font>
      <x:fill>
        <x:patternFill patternType="solid">
          <x:bgColor rgb="FFFFF1D6"/>
        </x:patternFill>
      </x:fill>
    </x:dxf>
    <x:dxf>
      <x:font>
        <x:color rgb="FF8C5500"/>
      </x:font>
      <x:fill>
        <x:patternFill patternType="solid">
          <x:bgColor rgb="FFFFF1D6"/>
        </x:patternFill>
      </x:fill>
    </x:dxf>
    <x:dxf>
      <x:font>
        <x:color rgb="FFA13E35"/>
      </x:font>
      <x:fill>
        <x:patternFill patternType="solid">
          <x:bgColor rgb="FFFB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97f39721ad4193" /><Relationship Type="http://schemas.openxmlformats.org/officeDocument/2006/relationships/theme" Target="/xl/theme/theme1.xml" Id="Re46a18de0fcd4db6" /><Relationship Type="http://schemas.microsoft.com/office/2022/11/relationships/FeaturePropertyBag" Target="/xl/featurePropertyBag/featurePropertyBag.xml" Id="R6f3b790df72c4328" /><Relationship Type="http://schemas.openxmlformats.org/officeDocument/2006/relationships/sharedStrings" Target="/xl/sharedStrings.xml" Id="R190a26647522494e" /><Relationship Type="http://schemas.openxmlformats.org/officeDocument/2006/relationships/worksheet" Target="/xl/worksheets/sheet1.xml" Id="Rf6ad98c9a0f24db1" /><Relationship Type="http://schemas.openxmlformats.org/officeDocument/2006/relationships/worksheet" Target="/xl/worksheets/sheet2.xml" Id="R5aacc84046004bd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2" name="CompressionComparison" displayName="CompressionComparison" ref="A14:P50" headerRowCount="1" totalsRowCount="0" totalsRowShown="0">
  <x:autoFilter ref="A14:P50"/>
  <x:tableColumns count="16">
    <x:tableColumn id="1" name="数据集"/>
    <x:tableColumn id="2" name="算法参数"/>
    <x:tableColumn id="3" name="压缩体积 MB"/>
    <x:tableColumn id="4" name="净节省率"/>
    <x:tableColumn id="5" name="压缩秒"/>
    <x:tableColumn id="6" name="解压秒"/>
    <x:tableColumn id="7" name="压缩峰值 MiB"/>
    <x:tableColumn id="8" name="解压峰值 MiB"/>
    <x:tableColumn id="9" name="核验轮数"/>
    <x:tableColumn id="10" name="体积排名"/>
    <x:tableColumn id="11" name="选择标注"/>
    <x:tableColumn id="12" name="原文件 bytes"/>
    <x:tableColumn id="13" name="产物中位数 bytes"/>
    <x:tableColumn id="14" name="压缩峰值 RSS bytes"/>
    <x:tableColumn id="15" name="解压峰值 RSS bytes"/>
    <x:tableColumn id="16" name="产物最大值 by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DmgComparison" displayName="DmgComparison" ref="A56:J60" headerRowCount="1" totalsRowCount="0" totalsRowShown="0">
  <x:autoFilter ref="A56:J60"/>
  <x:tableColumns count="10">
    <x:tableColumn id="1" name="资源载荷"/>
    <x:tableColumn id="2" name="镜像格式"/>
    <x:tableColumn id="3" name="镜像 MB"/>
    <x:tableColumn id="4" name="预压缩净节省"/>
    <x:tableColumn id="5" name="制作秒"/>
    <x:tableColumn id="6" name="制作峰值 MiB"/>
    <x:tableColumn id="7" name="恢复文件数"/>
    <x:tableColumn id="8" name="镜像 / 文件核验"/>
    <x:tableColumn id="9" name="镜像 bytes"/>
    <x:tableColumn id="10" name="制作峰值 RSS by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CompressionObservations" displayName="CompressionObservations" ref="A6:P110" headerRowCount="1" totalsRowCount="0" totalsRowShown="0">
  <x:autoFilter ref="A6:P110"/>
  <x:tableColumns count="16">
    <x:tableColumn id="1" name="数据集"/>
    <x:tableColumn id="2" name="算法参数"/>
    <x:tableColumn id="3" name="轮次"/>
    <x:tableColumn id="4" name="状态"/>
    <x:tableColumn id="5" name="原文件 bytes"/>
    <x:tableColumn id="6" name="统一 tar bytes"/>
    <x:tableColumn id="7" name="压缩产物 bytes"/>
    <x:tableColumn id="8" name="压缩秒"/>
    <x:tableColumn id="9" name="解压秒"/>
    <x:tableColumn id="10" name="压缩峰值 RSS bytes"/>
    <x:tableColumn id="11" name="解压峰值 RSS bytes"/>
    <x:tableColumn id="12" name="核验文件数"/>
    <x:tableColumn id="13" name="预期文件数"/>
    <x:tableColumn id="14" name="解压及核验秒"/>
    <x:tableColumn id="15" name="压缩产物 SHA-256"/>
    <x:tableColumn id="16" name="统一 tar SHA-256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DmgObservations" displayName="DmgObservations" ref="A114:H118" headerRowCount="1" totalsRowCount="0" totalsRowShown="0">
  <x:autoFilter ref="A114:H118"/>
  <x:tableColumns count="8">
    <x:tableColumn id="1" name="资源载荷"/>
    <x:tableColumn id="2" name="镜像格式"/>
    <x:tableColumn id="3" name="镜像 bytes"/>
    <x:tableColumn id="4" name="制作秒"/>
    <x:tableColumn id="5" name="制作峰值 RSS bytes"/>
    <x:tableColumn id="6" name="恢复文件数"/>
    <x:tableColumn id="7" name="挂载核验"/>
    <x:tableColumn id="8" name="镜像 SHA-256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54aa59c2374944" /><Relationship Type="http://schemas.openxmlformats.org/officeDocument/2006/relationships/table" Target="/xl/tables/table2.xml" Id="R3d57c439968a4f6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5071338a4e3e40af" /><Relationship Type="http://schemas.openxmlformats.org/officeDocument/2006/relationships/table" Target="/xl/tables/table4.xml" Id="Rbfd670e1c1184a58" /></Relationships>
</file>

<file path=xl/worksheets/sheet1.xml><?xml version="1.0" encoding="utf-8"?>
<x:worksheet xmlns:x="http://schemas.openxmlformats.org/spreadsheetml/2006/main">
  <x:sheetPr>
    <x:tabColor rgb="FF253D63"/>
  </x:sheetPr>
  <x:sheetViews>
    <x:sheetView showGridLines="0" workbookViewId="0">
      <x:pane xSplit="2" ySplit="14" topLeftCell="C15" activePane="bottomRight" state="frozen"/>
    </x:sheetView>
  </x:sheetViews>
  <x:sheetFormatPr defaultRowHeight="15"/>
  <x:cols>
    <x:col min="1" max="1" width="17" hidden="0" customWidth="1"/>
    <x:col min="2" max="2" width="20" hidden="0" customWidth="1"/>
    <x:col min="3" max="3" width="20" hidden="0" customWidth="1"/>
    <x:col min="4" max="4" width="20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6" hidden="0" customWidth="1"/>
    <x:col min="10" max="10" width="16" hidden="0" customWidth="1"/>
    <x:col min="11" max="11" width="16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32" customHeight="1">
      <x:c r="A2" s="3" t="str">
        <x:v>Norma OS 无损压缩选型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2"/>
      <x:c r="N3" s="2"/>
      <x:c r="O3" s="2"/>
      <x:c r="P3" s="2"/>
    </x:row>
    <x:row r="4" ht="24" customHeight="1">
      <x:c r="A4" s="12" t="str">
        <x:v>逐字节还原；统计成功轮次中位数与最大 RSS。排名仅含 300 秒期限内三轮全通过的候选。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4" customHeight="1">
      <x:c r="A5" s="12" t="str">
        <x:v>体积采用十进制 MB，内存采用 MiB。净节省计入归档开销，负值表示膨胀。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24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ht="44" customHeight="1">
      <x:c r="A7" s="7" t="str">
        <x:v>范围</x:v>
      </x:c>
      <x:c r="B7" s="7" t="str">
        <x:v>原始 MB</x:v>
      </x:c>
      <x:c r="C7" s="7" t="str">
        <x:v>体积最小算法</x:v>
      </x:c>
      <x:c r="D7" s="7" t="str">
        <x:v>最大净节省</x:v>
      </x:c>
      <x:c r="E7" s="7" t="str">
        <x:v>最快压缩</x:v>
      </x:c>
      <x:c r="F7" s="7" t="str">
        <x:v>最快解压</x:v>
      </x:c>
      <x:c r="G7" s="7" t="str">
        <x:v>50% 目标</x:v>
      </x:c>
      <x:c r="H7" s="7" t="str">
        <x:v>成功 / 超时</x:v>
      </x:c>
      <x:c r="I7" s="2"/>
      <x:c r="J7" s="2"/>
      <x:c r="K7" s="2"/>
      <x:c r="L7" s="2"/>
      <x:c r="M7" s="2"/>
      <x:c r="N7" s="2"/>
      <x:c r="O7" s="2"/>
      <x:c r="P7" s="2"/>
    </x:row>
    <x:row r="8" ht="24" customHeight="1">
      <x:c r="A8" s="2" t="str">
        <x:v>完整资源包</x:v>
      </x:c>
      <x:c r="B8" s="9" t="n">
        <x:f>SUMIFS($L$15:$L$50,$A$15:$A$50,A8,$B$15:$B$50,C8)/1000000</x:f>
        <x:v>167.312523</x:v>
      </x:c>
      <x:c r="C8" s="19" t="str">
        <x:v>brotli-11</x:v>
      </x:c>
      <x:c r="D8" s="18" t="n">
        <x:f>SUMIFS($D$15:$D$50,$A$15:$A$50,A8,$B$15:$B$50,C8)</x:f>
        <x:v>0.007412666892842257</x:v>
      </x:c>
      <x:c r="E8" s="19" t="str">
        <x:v>zstd-3</x:v>
      </x:c>
      <x:c r="F8" s="19" t="str">
        <x:v>zstd-19</x:v>
      </x:c>
      <x:c r="G8" s="19" t="str">
        <x:f>IF(SUMIFS($P$15:$P$50,$A$15:$A$50,A8,$B$15:$B$50,C8)*2&lt;=SUMIFS($L$15:$L$50,$A$15:$A$50,A8,$B$15:$B$50,C8),"达到","未达到")</x:f>
        <x:v>未达到</x:v>
      </x:c>
      <x:c r="H8" s="19" t="str">
        <x:v>33 / 1</x:v>
      </x:c>
      <x:c r="I8" s="2"/>
      <x:c r="J8" s="2"/>
      <x:c r="K8" s="2"/>
      <x:c r="L8" s="2"/>
      <x:c r="M8" s="2"/>
      <x:c r="N8" s="2"/>
      <x:c r="O8" s="2"/>
      <x:c r="P8" s="2"/>
    </x:row>
    <x:row r="9" ht="24" customHeight="1">
      <x:c r="A9" s="2" t="str">
        <x:v>视频</x:v>
      </x:c>
      <x:c r="B9" s="9" t="n">
        <x:f>SUMIFS($L$15:$L$50,$A$15:$A$50,A9,$B$15:$B$50,C9)/1000000</x:f>
        <x:v>129.412951</x:v>
      </x:c>
      <x:c r="C9" s="19" t="str">
        <x:v>zstd-22</x:v>
      </x:c>
      <x:c r="D9" s="18" t="n">
        <x:f>SUMIFS($D$15:$D$50,$A$15:$A$50,A9,$B$15:$B$50,C9)</x:f>
        <x:v>0.0011675106612784036</x:v>
      </x:c>
      <x:c r="E9" s="19" t="str">
        <x:v>zstd-3</x:v>
      </x:c>
      <x:c r="F9" s="19" t="str">
        <x:v>brotli-6</x:v>
      </x:c>
      <x:c r="G9" s="19" t="str">
        <x:f>IF(SUMIFS($P$15:$P$50,$A$15:$A$50,A9,$B$15:$B$50,C9)*2&lt;=SUMIFS($L$15:$L$50,$A$15:$A$50,A9,$B$15:$B$50,C9),"达到","未达到")</x:f>
        <x:v>未达到</x:v>
      </x:c>
      <x:c r="H9" s="19" t="str">
        <x:v>33 / 1</x:v>
      </x:c>
      <x:c r="I9" s="2"/>
      <x:c r="J9" s="2"/>
      <x:c r="K9" s="2"/>
      <x:c r="L9" s="2"/>
      <x:c r="M9" s="2"/>
      <x:c r="N9" s="2"/>
      <x:c r="O9" s="2"/>
      <x:c r="P9" s="2"/>
    </x:row>
    <x:row r="10" ht="24" customHeight="1">
      <x:c r="A10" s="2" t="str">
        <x:v>图像</x:v>
      </x:c>
      <x:c r="B10" s="9" t="n">
        <x:f>SUMIFS($L$15:$L$50,$A$15:$A$50,A10,$B$15:$B$50,C10)/1000000</x:f>
        <x:v>37.898255</x:v>
      </x:c>
      <x:c r="C10" s="19" t="str">
        <x:v>zpaq-5</x:v>
      </x:c>
      <x:c r="D10" s="18" t="n">
        <x:f>SUMIFS($D$15:$D$50,$A$15:$A$50,A10,$B$15:$B$50,C10)</x:f>
        <x:v>0.03947176459707713</x:v>
      </x:c>
      <x:c r="E10" s="19" t="str">
        <x:v>zstd-3</x:v>
      </x:c>
      <x:c r="F10" s="19" t="str">
        <x:v>zstd-3</x:v>
      </x:c>
      <x:c r="G10" s="19" t="str">
        <x:f>IF(SUMIFS($P$15:$P$50,$A$15:$A$50,A10,$B$15:$B$50,C10)*2&lt;=SUMIFS($L$15:$L$50,$A$15:$A$50,A10,$B$15:$B$50,C10),"达到","未达到")</x:f>
        <x:v>未达到</x:v>
      </x:c>
      <x:c r="H10" s="19" t="str">
        <x:v>36 / 0</x:v>
      </x:c>
      <x:c r="I10" s="2"/>
      <x:c r="J10" s="2"/>
      <x:c r="K10" s="2"/>
      <x:c r="L10" s="2"/>
      <x:c r="M10" s="2"/>
      <x:c r="N10" s="2"/>
      <x:c r="O10" s="2"/>
      <x:c r="P10" s="2"/>
    </x:row>
    <x:row r="11" ht="24" customHeight="1">
      <x:c r="A11" s="2" t="str">
        <x:v>解压计时只恢复统一 tar，不包含逐文件写入缓存及 SHA-256 核验。</x:v>
      </x:c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 ht="24" customHeight="1">
      <x:c r="A12" s="13" t="str">
        <x:v>综合建议：保留原媒体资源；先评估 ULMO DMG。预压缩后的额外收益见下方 DMG 实测。</x:v>
      </x:c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44" customHeight="1">
      <x:c r="A14" s="7" t="str">
        <x:v>数据集</x:v>
      </x:c>
      <x:c r="B14" s="7" t="str">
        <x:v>算法参数</x:v>
      </x:c>
      <x:c r="C14" s="7" t="str">
        <x:v>压缩体积 MB</x:v>
      </x:c>
      <x:c r="D14" s="7" t="str">
        <x:v>净节省率</x:v>
      </x:c>
      <x:c r="E14" s="7" t="str">
        <x:v>压缩秒</x:v>
      </x:c>
      <x:c r="F14" s="7" t="str">
        <x:v>解压秒</x:v>
      </x:c>
      <x:c r="G14" s="7" t="str">
        <x:v>压缩峰值 MiB</x:v>
      </x:c>
      <x:c r="H14" s="7" t="str">
        <x:v>解压峰值 MiB</x:v>
      </x:c>
      <x:c r="I14" s="7" t="str">
        <x:v>核验轮数</x:v>
      </x:c>
      <x:c r="J14" s="7" t="str">
        <x:v>体积排名</x:v>
      </x:c>
      <x:c r="K14" s="7" t="str">
        <x:v>选择标注</x:v>
      </x:c>
      <x:c r="L14" s="7" t="str">
        <x:v>原文件 bytes</x:v>
      </x:c>
      <x:c r="M14" s="7" t="str">
        <x:v>产物中位数 bytes</x:v>
      </x:c>
      <x:c r="N14" s="7" t="str">
        <x:v>压缩峰值 RSS bytes</x:v>
      </x:c>
      <x:c r="O14" s="7" t="str">
        <x:v>解压峰值 RSS bytes</x:v>
      </x:c>
      <x:c r="P14" s="7" t="str">
        <x:v>产物最大值 bytes</x:v>
      </x:c>
    </x:row>
    <x:row r="15" ht="24" customHeight="1">
      <x:c r="A15" s="2" t="str">
        <x:v>完整资源包</x:v>
      </x:c>
      <x:c r="B15" s="2" t="str">
        <x:v>store</x:v>
      </x:c>
      <x:c r="C15" s="14" t="n">
        <x:f>M15/1000000</x:f>
        <x:v>167.34208</x:v>
      </x:c>
      <x:c r="D15" s="16" t="n">
        <x:f>1-M15/L15</x:f>
        <x:v>-0.00017665742808747886</x:v>
      </x:c>
      <x:c r="E15" s="14" t="n">
        <x:v>0.08642091699994126</x:v>
      </x:c>
      <x:c r="F15" s="14" t="n">
        <x:v>0.08319133400027567</x:v>
      </x:c>
      <x:c r="G15" s="17" t="n">
        <x:f>N15/1048576</x:f>
        <x:v>2.015625</x:v>
      </x:c>
      <x:c r="H15" s="17" t="n">
        <x:f>O15/1048576</x:f>
        <x:v>2.015625</x:v>
      </x:c>
      <x:c r="I15" s="19" t="str">
        <x:v>3/3</x:v>
      </x:c>
      <x:c r="J15" s="19"/>
      <x:c r="K15" s="19" t="str">
        <x:v>归档基线</x:v>
      </x:c>
      <x:c r="L15" s="8" t="n">
        <x:v>167312523</x:v>
      </x:c>
      <x:c r="M15" s="8" t="n">
        <x:v>167342080</x:v>
      </x:c>
      <x:c r="N15" s="8" t="n">
        <x:v>2113536</x:v>
      </x:c>
      <x:c r="O15" s="8" t="n">
        <x:v>2113536</x:v>
      </x:c>
      <x:c r="P15" s="8" t="n">
        <x:v>167342080</x:v>
      </x:c>
    </x:row>
    <x:row r="16" ht="24" customHeight="1">
      <x:c r="A16" s="2" t="str">
        <x:v>完整资源包</x:v>
      </x:c>
      <x:c r="B16" s="2" t="str">
        <x:v>gzip-9</x:v>
      </x:c>
      <x:c r="C16" s="14" t="n">
        <x:f>M16/1000000</x:f>
        <x:v>166.360668</x:v>
      </x:c>
      <x:c r="D16" s="16" t="n">
        <x:f>1-M16/L16</x:f>
        <x:v>0.005689084014350754</x:v>
      </x:c>
      <x:c r="E16" s="14" t="n">
        <x:v>3.1295317500000692</x:v>
      </x:c>
      <x:c r="F16" s="14" t="n">
        <x:v>0.13636479199976748</x:v>
      </x:c>
      <x:c r="G16" s="17" t="n">
        <x:f>N16/1048576</x:f>
        <x:v>1.4375</x:v>
      </x:c>
      <x:c r="H16" s="17" t="n">
        <x:f>O16/1048576</x:f>
        <x:v>1.203125</x:v>
      </x:c>
      <x:c r="I16" s="19" t="str">
        <x:v>3/3</x:v>
      </x:c>
      <x:c r="J16" s="19" t="n">
        <x:f>COUNTIFS($A$15:$A$50,A16,$I$15:$I$50,"3/3",$B$15:$B$50,"&lt;&gt;store",$C$15:$C$50,"&lt;"&amp;C16)+1</x:f>
        <x:v>7</x:v>
      </x:c>
      <x:c r="K16" s="19" t="str">
        <x:f>IF(J16=1,"体积最小","已验证")</x:f>
        <x:v>已验证</x:v>
      </x:c>
      <x:c r="L16" s="8" t="n">
        <x:v>167312523</x:v>
      </x:c>
      <x:c r="M16" s="8" t="n">
        <x:v>166360668</x:v>
      </x:c>
      <x:c r="N16" s="8" t="n">
        <x:v>1507328</x:v>
      </x:c>
      <x:c r="O16" s="8" t="n">
        <x:v>1261568</x:v>
      </x:c>
      <x:c r="P16" s="8" t="n">
        <x:v>166360668</x:v>
      </x:c>
    </x:row>
    <x:row r="17" ht="24" customHeight="1">
      <x:c r="A17" s="2" t="str">
        <x:v>完整资源包</x:v>
      </x:c>
      <x:c r="B17" s="2" t="str">
        <x:v>bzip2-9</x:v>
      </x:c>
      <x:c r="C17" s="14" t="n">
        <x:f>M17/1000000</x:f>
        <x:v>166.960408</x:v>
      </x:c>
      <x:c r="D17" s="16" t="n">
        <x:f>1-M17/L17</x:f>
        <x:v>0.00210453463785254</x:v>
      </x:c>
      <x:c r="E17" s="14" t="n">
        <x:v>13.662647666999874</x:v>
      </x:c>
      <x:c r="F17" s="14" t="n">
        <x:v>6.515403165999999</x:v>
      </x:c>
      <x:c r="G17" s="17" t="n">
        <x:f>N17/1048576</x:f>
        <x:v>7.453125</x:v>
      </x:c>
      <x:c r="H17" s="17" t="n">
        <x:f>O17/1048576</x:f>
        <x:v>4.578125</x:v>
      </x:c>
      <x:c r="I17" s="19" t="str">
        <x:v>3/3</x:v>
      </x:c>
      <x:c r="J17" s="19" t="n">
        <x:f>COUNTIFS($A$15:$A$50,A17,$I$15:$I$50,"3/3",$B$15:$B$50,"&lt;&gt;store",$C$15:$C$50,"&lt;"&amp;C17)+1</x:f>
        <x:v>9</x:v>
      </x:c>
      <x:c r="K17" s="19" t="str">
        <x:f>IF(J17=1,"体积最小","已验证")</x:f>
        <x:v>已验证</x:v>
      </x:c>
      <x:c r="L17" s="8" t="n">
        <x:v>167312523</x:v>
      </x:c>
      <x:c r="M17" s="8" t="n">
        <x:v>166960408</x:v>
      </x:c>
      <x:c r="N17" s="8" t="n">
        <x:v>7815168</x:v>
      </x:c>
      <x:c r="O17" s="8" t="n">
        <x:v>4800512</x:v>
      </x:c>
      <x:c r="P17" s="8" t="n">
        <x:v>166960408</x:v>
      </x:c>
    </x:row>
    <x:row r="18" ht="24" customHeight="1">
      <x:c r="A18" s="2" t="str">
        <x:v>完整资源包</x:v>
      </x:c>
      <x:c r="B18" s="2" t="str">
        <x:v>xz-9e</x:v>
      </x:c>
      <x:c r="C18" s="14" t="n">
        <x:f>M18/1000000</x:f>
        <x:v>166.173008</x:v>
      </x:c>
      <x:c r="D18" s="16" t="n">
        <x:f>1-M18/L18</x:f>
        <x:v>0.006810697606897009</x:v>
      </x:c>
      <x:c r="E18" s="14" t="n">
        <x:v>70.81124458299996</x:v>
      </x:c>
      <x:c r="F18" s="14" t="n">
        <x:v>1.0774236669999482</x:v>
      </x:c>
      <x:c r="G18" s="17" t="n">
        <x:f>N18/1048576</x:f>
        <x:v>674.421875</x:v>
      </x:c>
      <x:c r="H18" s="17" t="n">
        <x:f>O18/1048576</x:f>
        <x:v>65.96875</x:v>
      </x:c>
      <x:c r="I18" s="19" t="str">
        <x:v>3/3</x:v>
      </x:c>
      <x:c r="J18" s="19" t="n">
        <x:f>COUNTIFS($A$15:$A$50,A18,$I$15:$I$50,"3/3",$B$15:$B$50,"&lt;&gt;store",$C$15:$C$50,"&lt;"&amp;C18)+1</x:f>
        <x:v>5</x:v>
      </x:c>
      <x:c r="K18" s="19" t="str">
        <x:f>IF(J18=1,"体积最小","已验证")</x:f>
        <x:v>已验证</x:v>
      </x:c>
      <x:c r="L18" s="8" t="n">
        <x:v>167312523</x:v>
      </x:c>
      <x:c r="M18" s="8" t="n">
        <x:v>166173008</x:v>
      </x:c>
      <x:c r="N18" s="8" t="n">
        <x:v>707182592</x:v>
      </x:c>
      <x:c r="O18" s="8" t="n">
        <x:v>69173248</x:v>
      </x:c>
      <x:c r="P18" s="8" t="n">
        <x:v>166173008</x:v>
      </x:c>
    </x:row>
    <x:row r="19" ht="24" customHeight="1">
      <x:c r="A19" s="2" t="str">
        <x:v>完整资源包</x:v>
      </x:c>
      <x:c r="B19" s="2" t="str">
        <x:v>zstd-3</x:v>
      </x:c>
      <x:c r="C19" s="14" t="n">
        <x:f>M19/1000000</x:f>
        <x:v>166.492331</x:v>
      </x:c>
      <x:c r="D19" s="16" t="n">
        <x:f>1-M19/L19</x:f>
        <x:v>0.004902155471052216</x:v>
      </x:c>
      <x:c r="E19" s="14" t="n">
        <x:v>0.1386318749999873</x:v>
      </x:c>
      <x:c r="F19" s="14" t="n">
        <x:v>0.08843241699992177</x:v>
      </x:c>
      <x:c r="G19" s="17" t="n">
        <x:f>N19/1048576</x:f>
        <x:v>7.8125</x:v>
      </x:c>
      <x:c r="H19" s="17" t="n">
        <x:f>O19/1048576</x:f>
        <x:v>7.078125</x:v>
      </x:c>
      <x:c r="I19" s="19" t="str">
        <x:v>3/3</x:v>
      </x:c>
      <x:c r="J19" s="19" t="n">
        <x:f>COUNTIFS($A$15:$A$50,A19,$I$15:$I$50,"3/3",$B$15:$B$50,"&lt;&gt;store",$C$15:$C$50,"&lt;"&amp;C19)+1</x:f>
        <x:v>8</x:v>
      </x:c>
      <x:c r="K19" s="19" t="str">
        <x:f>IF(J19=1,"体积最小","已验证")</x:f>
        <x:v>已验证</x:v>
      </x:c>
      <x:c r="L19" s="8" t="n">
        <x:v>167312523</x:v>
      </x:c>
      <x:c r="M19" s="8" t="n">
        <x:v>166492331</x:v>
      </x:c>
      <x:c r="N19" s="8" t="n">
        <x:v>8192000</x:v>
      </x:c>
      <x:c r="O19" s="8" t="n">
        <x:v>7421952</x:v>
      </x:c>
      <x:c r="P19" s="8" t="n">
        <x:v>166492331</x:v>
      </x:c>
    </x:row>
    <x:row r="20" ht="24" customHeight="1">
      <x:c r="A20" s="2" t="str">
        <x:v>完整资源包</x:v>
      </x:c>
      <x:c r="B20" s="2" t="str">
        <x:v>zstd-19</x:v>
      </x:c>
      <x:c r="C20" s="14" t="n">
        <x:f>M20/1000000</x:f>
        <x:v>166.097286</x:v>
      </x:c>
      <x:c r="D20" s="16" t="n">
        <x:f>1-M20/L20</x:f>
        <x:v>0.007263275803927716</x:v>
      </x:c>
      <x:c r="E20" s="14" t="n">
        <x:v>25.202717666000012</x:v>
      </x:c>
      <x:c r="F20" s="14" t="n">
        <x:v>0.0847435000000587</x:v>
      </x:c>
      <x:c r="G20" s="17" t="n">
        <x:f>N20/1048576</x:f>
        <x:v>92.609375</x:v>
      </x:c>
      <x:c r="H20" s="17" t="n">
        <x:f>O20/1048576</x:f>
        <x:v>13.125</x:v>
      </x:c>
      <x:c r="I20" s="19" t="str">
        <x:v>3/3</x:v>
      </x:c>
      <x:c r="J20" s="19" t="n">
        <x:f>COUNTIFS($A$15:$A$50,A20,$I$15:$I$50,"3/3",$B$15:$B$50,"&lt;&gt;store",$C$15:$C$50,"&lt;"&amp;C20)+1</x:f>
        <x:v>3</x:v>
      </x:c>
      <x:c r="K20" s="19" t="str">
        <x:f>IF(J20=1,"体积最小","综合归档候选")</x:f>
        <x:v>综合归档候选</x:v>
      </x:c>
      <x:c r="L20" s="8" t="n">
        <x:v>167312523</x:v>
      </x:c>
      <x:c r="M20" s="8" t="n">
        <x:v>166097286</x:v>
      </x:c>
      <x:c r="N20" s="8" t="n">
        <x:v>97107968</x:v>
      </x:c>
      <x:c r="O20" s="8" t="n">
        <x:v>13762560</x:v>
      </x:c>
      <x:c r="P20" s="8" t="n">
        <x:v>166097286</x:v>
      </x:c>
    </x:row>
    <x:row r="21" ht="24" customHeight="1">
      <x:c r="A21" s="2" t="str">
        <x:v>完整资源包</x:v>
      </x:c>
      <x:c r="B21" s="2" t="str">
        <x:v>zstd-22</x:v>
      </x:c>
      <x:c r="C21" s="14" t="n">
        <x:f>M21/1000000</x:f>
        <x:v>166.091741</x:v>
      </x:c>
      <x:c r="D21" s="16" t="n">
        <x:f>1-M21/L21</x:f>
        <x:v>0.007296417375763364</x:v>
      </x:c>
      <x:c r="E21" s="14" t="n">
        <x:v>32.07937237499982</x:v>
      </x:c>
      <x:c r="F21" s="14" t="n">
        <x:v>0.09088274999999157</x:v>
      </x:c>
      <x:c r="G21" s="17" t="n">
        <x:f>N21/1048576</x:f>
        <x:v>836.21875</x:v>
      </x:c>
      <x:c r="H21" s="17" t="n">
        <x:f>O21/1048576</x:f>
        <x:v>133.015625</x:v>
      </x:c>
      <x:c r="I21" s="19" t="str">
        <x:v>3/3</x:v>
      </x:c>
      <x:c r="J21" s="19" t="n">
        <x:f>COUNTIFS($A$15:$A$50,A21,$I$15:$I$50,"3/3",$B$15:$B$50,"&lt;&gt;store",$C$15:$C$50,"&lt;"&amp;C21)+1</x:f>
        <x:v>2</x:v>
      </x:c>
      <x:c r="K21" s="19" t="str">
        <x:f>IF(J21=1,"体积最小","已验证")</x:f>
        <x:v>已验证</x:v>
      </x:c>
      <x:c r="L21" s="8" t="n">
        <x:v>167312523</x:v>
      </x:c>
      <x:c r="M21" s="8" t="n">
        <x:v>166091741</x:v>
      </x:c>
      <x:c r="N21" s="8" t="n">
        <x:v>876838912</x:v>
      </x:c>
      <x:c r="O21" s="8" t="n">
        <x:v>139476992</x:v>
      </x:c>
      <x:c r="P21" s="8" t="n">
        <x:v>166091741</x:v>
      </x:c>
    </x:row>
    <x:row r="22" ht="24" customHeight="1">
      <x:c r="A22" s="2" t="str">
        <x:v>完整资源包</x:v>
      </x:c>
      <x:c r="B22" s="2" t="str">
        <x:v>brotli-6</x:v>
      </x:c>
      <x:c r="C22" s="14" t="n">
        <x:f>M22/1000000</x:f>
        <x:v>166.246011</x:v>
      </x:c>
      <x:c r="D22" s="16" t="n">
        <x:f>1-M22/L22</x:f>
        <x:v>0.006374370434901633</x:v>
      </x:c>
      <x:c r="E22" s="14" t="n">
        <x:v>0.5497366660001717</x:v>
      </x:c>
      <x:c r="F22" s="14" t="n">
        <x:v>0.20061325000006036</x:v>
      </x:c>
      <x:c r="G22" s="17" t="n">
        <x:f>N22/1048576</x:f>
        <x:v>55.046875</x:v>
      </x:c>
      <x:c r="H22" s="17" t="n">
        <x:f>O22/1048576</x:f>
        <x:v>27.5</x:v>
      </x:c>
      <x:c r="I22" s="19" t="str">
        <x:v>3/3</x:v>
      </x:c>
      <x:c r="J22" s="19" t="n">
        <x:f>COUNTIFS($A$15:$A$50,A22,$I$15:$I$50,"3/3",$B$15:$B$50,"&lt;&gt;store",$C$15:$C$50,"&lt;"&amp;C22)+1</x:f>
        <x:v>6</x:v>
      </x:c>
      <x:c r="K22" s="19" t="str">
        <x:f>IF(J22=1,"体积最小","已验证")</x:f>
        <x:v>已验证</x:v>
      </x:c>
      <x:c r="L22" s="8" t="n">
        <x:v>167312523</x:v>
      </x:c>
      <x:c r="M22" s="8" t="n">
        <x:v>166246011</x:v>
      </x:c>
      <x:c r="N22" s="8" t="n">
        <x:v>57720832</x:v>
      </x:c>
      <x:c r="O22" s="8" t="n">
        <x:v>28835840</x:v>
      </x:c>
      <x:c r="P22" s="8" t="n">
        <x:v>166246011</x:v>
      </x:c>
    </x:row>
    <x:row r="23" ht="24" customHeight="1">
      <x:c r="A23" s="2" t="str">
        <x:v>完整资源包</x:v>
      </x:c>
      <x:c r="B23" s="2" t="str">
        <x:v>brotli-11</x:v>
      </x:c>
      <x:c r="C23" s="14" t="n">
        <x:f>M23/1000000</x:f>
        <x:v>166.072291</x:v>
      </x:c>
      <x:c r="D23" s="16" t="n">
        <x:f>1-M23/L23</x:f>
        <x:v>0.007412666892842257</x:v>
      </x:c>
      <x:c r="E23" s="14" t="n">
        <x:v>260.656963875</x:v>
      </x:c>
      <x:c r="F23" s="14" t="n">
        <x:v>0.3092817090000608</x:v>
      </x:c>
      <x:c r="G23" s="17" t="n">
        <x:f>N23/1048576</x:f>
        <x:v>239.265625</x:v>
      </x:c>
      <x:c r="H23" s="17" t="n">
        <x:f>O23/1048576</x:f>
        <x:v>28.296875</x:v>
      </x:c>
      <x:c r="I23" s="19" t="str">
        <x:v>3/3</x:v>
      </x:c>
      <x:c r="J23" s="19" t="n">
        <x:f>COUNTIFS($A$15:$A$50,A23,$I$15:$I$50,"3/3",$B$15:$B$50,"&lt;&gt;store",$C$15:$C$50,"&lt;"&amp;C23)+1</x:f>
        <x:v>1</x:v>
      </x:c>
      <x:c r="K23" s="19" t="str">
        <x:f>IF(J23=1,"体积最小","已验证")</x:f>
        <x:v>体积最小</x:v>
      </x:c>
      <x:c r="L23" s="8" t="n">
        <x:v>167312523</x:v>
      </x:c>
      <x:c r="M23" s="8" t="n">
        <x:v>166072291</x:v>
      </x:c>
      <x:c r="N23" s="8" t="n">
        <x:v>250888192</x:v>
      </x:c>
      <x:c r="O23" s="8" t="n">
        <x:v>29671424</x:v>
      </x:c>
      <x:c r="P23" s="8" t="n">
        <x:v>166072291</x:v>
      </x:c>
    </x:row>
    <x:row r="24" ht="24" customHeight="1">
      <x:c r="A24" s="2" t="str">
        <x:v>完整资源包</x:v>
      </x:c>
      <x:c r="B24" s="2" t="str">
        <x:v>7z-lzma2-9</x:v>
      </x:c>
      <x:c r="C24" s="14" t="n">
        <x:f>M24/1000000</x:f>
        <x:v>166.17218</x:v>
      </x:c>
      <x:c r="D24" s="16" t="n">
        <x:f>1-M24/L24</x:f>
        <x:v>0.0068156464295263675</x:v>
      </x:c>
      <x:c r="E24" s="14" t="n">
        <x:v>82.87088350000022</x:v>
      </x:c>
      <x:c r="F24" s="14" t="n">
        <x:v>0.6533510409999508</x:v>
      </x:c>
      <x:c r="G24" s="17" t="n">
        <x:f>N24/1048576</x:f>
        <x:v>1660.203125</x:v>
      </x:c>
      <x:c r="H24" s="17" t="n">
        <x:f>O24/1048576</x:f>
        <x:v>331.875</x:v>
      </x:c>
      <x:c r="I24" s="19" t="str">
        <x:v>3/3</x:v>
      </x:c>
      <x:c r="J24" s="19" t="n">
        <x:f>COUNTIFS($A$15:$A$50,A24,$I$15:$I$50,"3/3",$B$15:$B$50,"&lt;&gt;store",$C$15:$C$50,"&lt;"&amp;C24)+1</x:f>
        <x:v>4</x:v>
      </x:c>
      <x:c r="K24" s="19" t="str">
        <x:f>IF(J24=1,"体积最小","已验证")</x:f>
        <x:v>已验证</x:v>
      </x:c>
      <x:c r="L24" s="8" t="n">
        <x:v>167312523</x:v>
      </x:c>
      <x:c r="M24" s="8" t="n">
        <x:v>166172180</x:v>
      </x:c>
      <x:c r="N24" s="8" t="n">
        <x:v>1740849152</x:v>
      </x:c>
      <x:c r="O24" s="8" t="n">
        <x:v>347996160</x:v>
      </x:c>
      <x:c r="P24" s="8" t="n">
        <x:v>166172180</x:v>
      </x:c>
    </x:row>
    <x:row r="25" ht="24" customHeight="1">
      <x:c r="A25" s="2" t="str">
        <x:v>完整资源包</x:v>
      </x:c>
      <x:c r="B25" s="2" t="str">
        <x:v>7z-ppmd-9</x:v>
      </x:c>
      <x:c r="C25" s="14" t="n">
        <x:f>M25/1000000</x:f>
        <x:v>169.175545</x:v>
      </x:c>
      <x:c r="D25" s="16" t="n">
        <x:f>1-M25/L25</x:f>
        <x:v>-0.011134982406546978</x:v>
      </x:c>
      <x:c r="E25" s="14" t="n">
        <x:v>120.30773595900018</x:v>
      </x:c>
      <x:c r="F25" s="14" t="n">
        <x:v>125.72393933400008</x:v>
      </x:c>
      <x:c r="G25" s="17" t="n">
        <x:f>N25/1048576</x:f>
        <x:v>261.171875</x:v>
      </x:c>
      <x:c r="H25" s="17" t="n">
        <x:f>O25/1048576</x:f>
        <x:v>260.25</x:v>
      </x:c>
      <x:c r="I25" s="19" t="str">
        <x:v>3/3</x:v>
      </x:c>
      <x:c r="J25" s="19" t="n">
        <x:f>COUNTIFS($A$15:$A$50,A25,$I$15:$I$50,"3/3",$B$15:$B$50,"&lt;&gt;store",$C$15:$C$50,"&lt;"&amp;C25)+1</x:f>
        <x:v>10</x:v>
      </x:c>
      <x:c r="K25" s="19" t="str">
        <x:f>IF(J25=1,"体积最小","已验证")</x:f>
        <x:v>已验证</x:v>
      </x:c>
      <x:c r="L25" s="8" t="n">
        <x:v>167312523</x:v>
      </x:c>
      <x:c r="M25" s="8" t="n">
        <x:v>169175545</x:v>
      </x:c>
      <x:c r="N25" s="8" t="n">
        <x:v>273858560</x:v>
      </x:c>
      <x:c r="O25" s="8" t="n">
        <x:v>272891904</x:v>
      </x:c>
      <x:c r="P25" s="8" t="n">
        <x:v>169175545</x:v>
      </x:c>
    </x:row>
    <x:row r="26" ht="24" customHeight="1">
      <x:c r="A26" s="2" t="str">
        <x:v>完整资源包</x:v>
      </x:c>
      <x:c r="B26" s="2" t="str">
        <x:v>zpaq-5</x:v>
      </x:c>
      <x:c r="C26" s="14" t="str">
        <x:v>未知</x:v>
      </x:c>
      <x:c r="D26" s="16" t="str">
        <x:v>未知</x:v>
      </x:c>
      <x:c r="E26" s="14" t="str">
        <x:v>&gt;300</x:v>
      </x:c>
      <x:c r="F26" s="14" t="str">
        <x:v>未执行</x:v>
      </x:c>
      <x:c r="G26" s="17" t="str">
        <x:v>未知</x:v>
      </x:c>
      <x:c r="H26" s="17" t="str">
        <x:v>未执行</x:v>
      </x:c>
      <x:c r="I26" s="19" t="str">
        <x:v>压缩超时</x:v>
      </x:c>
      <x:c r="J26" s="19"/>
      <x:c r="K26" s="19" t="str">
        <x:v>排除：压缩超时</x:v>
      </x:c>
      <x:c r="L26" s="8" t="n">
        <x:v>167312523</x:v>
      </x:c>
      <x:c r="M26" s="8"/>
      <x:c r="N26" s="8"/>
      <x:c r="O26" s="8"/>
      <x:c r="P26" s="8"/>
    </x:row>
    <x:row r="27" ht="24" customHeight="1">
      <x:c r="A27" s="2" t="str">
        <x:v>视频</x:v>
      </x:c>
      <x:c r="B27" s="2" t="str">
        <x:v>store</x:v>
      </x:c>
      <x:c r="C27" s="14" t="n">
        <x:f>M27/1000000</x:f>
        <x:v>129.42336</x:v>
      </x:c>
      <x:c r="D27" s="16" t="n">
        <x:f>1-M27/L27</x:f>
        <x:v>-0.00008043244450850473</x:v>
      </x:c>
      <x:c r="E27" s="14" t="n">
        <x:v>0.08415400000012596</x:v>
      </x:c>
      <x:c r="F27" s="14" t="n">
        <x:v>0.07845945900000006</x:v>
      </x:c>
      <x:c r="G27" s="17" t="n">
        <x:f>N27/1048576</x:f>
        <x:v>2.015625</x:v>
      </x:c>
      <x:c r="H27" s="17" t="n">
        <x:f>O27/1048576</x:f>
        <x:v>2.015625</x:v>
      </x:c>
      <x:c r="I27" s="19" t="str">
        <x:v>3/3</x:v>
      </x:c>
      <x:c r="J27" s="19"/>
      <x:c r="K27" s="19" t="str">
        <x:v>归档基线</x:v>
      </x:c>
      <x:c r="L27" s="8" t="n">
        <x:v>129412951</x:v>
      </x:c>
      <x:c r="M27" s="8" t="n">
        <x:v>129423360</x:v>
      </x:c>
      <x:c r="N27" s="8" t="n">
        <x:v>2113536</x:v>
      </x:c>
      <x:c r="O27" s="8" t="n">
        <x:v>2113536</x:v>
      </x:c>
      <x:c r="P27" s="8" t="n">
        <x:v>129423360</x:v>
      </x:c>
    </x:row>
    <x:row r="28" ht="24" customHeight="1">
      <x:c r="A28" s="2" t="str">
        <x:v>视频</x:v>
      </x:c>
      <x:c r="B28" s="2" t="str">
        <x:v>gzip-9</x:v>
      </x:c>
      <x:c r="C28" s="14" t="n">
        <x:f>M28/1000000</x:f>
        <x:v>129.327935</x:v>
      </x:c>
      <x:c r="D28" s="16" t="n">
        <x:f>1-M28/L28</x:f>
        <x:v>0.0006569357961707656</x:v>
      </x:c>
      <x:c r="E28" s="14" t="n">
        <x:v>2.3876927920000526</x:v>
      </x:c>
      <x:c r="F28" s="14" t="n">
        <x:v>0.08396208299927821</x:v>
      </x:c>
      <x:c r="G28" s="17" t="n">
        <x:f>N28/1048576</x:f>
        <x:v>1.4375</x:v>
      </x:c>
      <x:c r="H28" s="17" t="n">
        <x:f>O28/1048576</x:f>
        <x:v>1.203125</x:v>
      </x:c>
      <x:c r="I28" s="19" t="str">
        <x:v>3/3</x:v>
      </x:c>
      <x:c r="J28" s="19" t="n">
        <x:f>COUNTIFS($A$15:$A$50,A28,$I$15:$I$50,"3/3",$B$15:$B$50,"&lt;&gt;store",$C$15:$C$50,"&lt;"&amp;C28)+1</x:f>
        <x:v>5</x:v>
      </x:c>
      <x:c r="K28" s="19" t="str">
        <x:f>IF(J28=1,"体积最小","已验证")</x:f>
        <x:v>已验证</x:v>
      </x:c>
      <x:c r="L28" s="8" t="n">
        <x:v>129412951</x:v>
      </x:c>
      <x:c r="M28" s="8" t="n">
        <x:v>129327935</x:v>
      </x:c>
      <x:c r="N28" s="8" t="n">
        <x:v>1507328</x:v>
      </x:c>
      <x:c r="O28" s="8" t="n">
        <x:v>1261568</x:v>
      </x:c>
      <x:c r="P28" s="8" t="n">
        <x:v>129327935</x:v>
      </x:c>
    </x:row>
    <x:row r="29" ht="24" customHeight="1">
      <x:c r="A29" s="2" t="str">
        <x:v>视频</x:v>
      </x:c>
      <x:c r="B29" s="2" t="str">
        <x:v>bzip2-9</x:v>
      </x:c>
      <x:c r="C29" s="14" t="n">
        <x:f>M29/1000000</x:f>
        <x:v>129.895419</x:v>
      </x:c>
      <x:c r="D29" s="16" t="n">
        <x:f>1-M29/L29</x:f>
        <x:v>-0.003728127643113588</x:v>
      </x:c>
      <x:c r="E29" s="14" t="n">
        <x:v>10.946362832999966</x:v>
      </x:c>
      <x:c r="F29" s="14" t="n">
        <x:v>5.229655166000001</x:v>
      </x:c>
      <x:c r="G29" s="17" t="n">
        <x:f>N29/1048576</x:f>
        <x:v>7.453125</x:v>
      </x:c>
      <x:c r="H29" s="17" t="n">
        <x:f>O29/1048576</x:f>
        <x:v>4.578125</x:v>
      </x:c>
      <x:c r="I29" s="19" t="str">
        <x:v>3/3</x:v>
      </x:c>
      <x:c r="J29" s="19" t="n">
        <x:f>COUNTIFS($A$15:$A$50,A29,$I$15:$I$50,"3/3",$B$15:$B$50,"&lt;&gt;store",$C$15:$C$50,"&lt;"&amp;C29)+1</x:f>
        <x:v>9</x:v>
      </x:c>
      <x:c r="K29" s="19" t="str">
        <x:f>IF(J29=1,"体积最小","已验证")</x:f>
        <x:v>已验证</x:v>
      </x:c>
      <x:c r="L29" s="8" t="n">
        <x:v>129412951</x:v>
      </x:c>
      <x:c r="M29" s="8" t="n">
        <x:v>129895419</x:v>
      </x:c>
      <x:c r="N29" s="8" t="n">
        <x:v>7815168</x:v>
      </x:c>
      <x:c r="O29" s="8" t="n">
        <x:v>4800512</x:v>
      </x:c>
      <x:c r="P29" s="8" t="n">
        <x:v>129895419</x:v>
      </x:c>
    </x:row>
    <x:row r="30" ht="24" customHeight="1">
      <x:c r="A30" s="2" t="str">
        <x:v>视频</x:v>
      </x:c>
      <x:c r="B30" s="2" t="str">
        <x:v>xz-9e</x:v>
      </x:c>
      <x:c r="C30" s="14" t="n">
        <x:f>M30/1000000</x:f>
        <x:v>129.284764</x:v>
      </x:c>
      <x:c r="D30" s="16" t="n">
        <x:f>1-M30/L30</x:f>
        <x:v>0.0009905268291116043</x:v>
      </x:c>
      <x:c r="E30" s="14" t="n">
        <x:v>56.834560833</x:v>
      </x:c>
      <x:c r="F30" s="14" t="n">
        <x:v>0.397031208000044</x:v>
      </x:c>
      <x:c r="G30" s="17" t="n">
        <x:f>N30/1048576</x:f>
        <x:v>674.15625</x:v>
      </x:c>
      <x:c r="H30" s="17" t="n">
        <x:f>O30/1048576</x:f>
        <x:v>65.96875</x:v>
      </x:c>
      <x:c r="I30" s="19" t="str">
        <x:v>3/3</x:v>
      </x:c>
      <x:c r="J30" s="19" t="n">
        <x:f>COUNTIFS($A$15:$A$50,A30,$I$15:$I$50,"3/3",$B$15:$B$50,"&lt;&gt;store",$C$15:$C$50,"&lt;"&amp;C30)+1</x:f>
        <x:v>4</x:v>
      </x:c>
      <x:c r="K30" s="19" t="str">
        <x:f>IF(J30=1,"体积最小","已验证")</x:f>
        <x:v>已验证</x:v>
      </x:c>
      <x:c r="L30" s="8" t="n">
        <x:v>129412951</x:v>
      </x:c>
      <x:c r="M30" s="8" t="n">
        <x:v>129284764</x:v>
      </x:c>
      <x:c r="N30" s="8" t="n">
        <x:v>706904064</x:v>
      </x:c>
      <x:c r="O30" s="8" t="n">
        <x:v>69173248</x:v>
      </x:c>
      <x:c r="P30" s="8" t="n">
        <x:v>129284764</x:v>
      </x:c>
    </x:row>
    <x:row r="31" ht="24" customHeight="1">
      <x:c r="A31" s="2" t="str">
        <x:v>视频</x:v>
      </x:c>
      <x:c r="B31" s="2" t="str">
        <x:v>zstd-3</x:v>
      </x:c>
      <x:c r="C31" s="14" t="n">
        <x:f>M31/1000000</x:f>
        <x:v>129.344723</x:v>
      </x:c>
      <x:c r="D31" s="16" t="n">
        <x:f>1-M31/L31</x:f>
        <x:v>0.0005272115307841663</x:v>
      </x:c>
      <x:c r="E31" s="14" t="n">
        <x:v>0.13027108400000031</x:v>
      </x:c>
      <x:c r="F31" s="14" t="n">
        <x:v>0.07423545900019235</x:v>
      </x:c>
      <x:c r="G31" s="17" t="n">
        <x:f>N31/1048576</x:f>
        <x:v>7.796875</x:v>
      </x:c>
      <x:c r="H31" s="17" t="n">
        <x:f>O31/1048576</x:f>
        <x:v>7.109375</x:v>
      </x:c>
      <x:c r="I31" s="19" t="str">
        <x:v>3/3</x:v>
      </x:c>
      <x:c r="J31" s="19" t="n">
        <x:f>COUNTIFS($A$15:$A$50,A31,$I$15:$I$50,"3/3",$B$15:$B$50,"&lt;&gt;store",$C$15:$C$50,"&lt;"&amp;C31)+1</x:f>
        <x:v>6</x:v>
      </x:c>
      <x:c r="K31" s="19" t="str">
        <x:f>IF(J31=1,"体积最小","已验证")</x:f>
        <x:v>已验证</x:v>
      </x:c>
      <x:c r="L31" s="8" t="n">
        <x:v>129412951</x:v>
      </x:c>
      <x:c r="M31" s="8" t="n">
        <x:v>129344723</x:v>
      </x:c>
      <x:c r="N31" s="8" t="n">
        <x:v>8175616</x:v>
      </x:c>
      <x:c r="O31" s="8" t="n">
        <x:v>7454720</x:v>
      </x:c>
      <x:c r="P31" s="8" t="n">
        <x:v>129344723</x:v>
      </x:c>
    </x:row>
    <x:row r="32" ht="24" customHeight="1">
      <x:c r="A32" s="2" t="str">
        <x:v>视频</x:v>
      </x:c>
      <x:c r="B32" s="2" t="str">
        <x:v>zstd-19</x:v>
      </x:c>
      <x:c r="C32" s="14" t="n">
        <x:f>M32/1000000</x:f>
        <x:v>129.266841</x:v>
      </x:c>
      <x:c r="D32" s="16" t="n">
        <x:f>1-M32/L32</x:f>
        <x:v>0.00112902146864724</x:v>
      </x:c>
      <x:c r="E32" s="14" t="n">
        <x:v>23.535946917000004</x:v>
      </x:c>
      <x:c r="F32" s="14" t="n">
        <x:v>0.07497745800000644</x:v>
      </x:c>
      <x:c r="G32" s="17" t="n">
        <x:f>N32/1048576</x:f>
        <x:v>92.5625</x:v>
      </x:c>
      <x:c r="H32" s="17" t="n">
        <x:f>O32/1048576</x:f>
        <x:v>13.078125</x:v>
      </x:c>
      <x:c r="I32" s="19" t="str">
        <x:v>3/3</x:v>
      </x:c>
      <x:c r="J32" s="19" t="n">
        <x:f>COUNTIFS($A$15:$A$50,A32,$I$15:$I$50,"3/3",$B$15:$B$50,"&lt;&gt;store",$C$15:$C$50,"&lt;"&amp;C32)+1</x:f>
        <x:v>2</x:v>
      </x:c>
      <x:c r="K32" s="19" t="str">
        <x:f>IF(J32=1,"体积最小","已验证")</x:f>
        <x:v>已验证</x:v>
      </x:c>
      <x:c r="L32" s="8" t="n">
        <x:v>129412951</x:v>
      </x:c>
      <x:c r="M32" s="8" t="n">
        <x:v>129266841</x:v>
      </x:c>
      <x:c r="N32" s="8" t="n">
        <x:v>97058816</x:v>
      </x:c>
      <x:c r="O32" s="8" t="n">
        <x:v>13713408</x:v>
      </x:c>
      <x:c r="P32" s="8" t="n">
        <x:v>129266841</x:v>
      </x:c>
    </x:row>
    <x:row r="33" ht="24" customHeight="1">
      <x:c r="A33" s="2" t="str">
        <x:v>视频</x:v>
      </x:c>
      <x:c r="B33" s="2" t="str">
        <x:v>zstd-22</x:v>
      </x:c>
      <x:c r="C33" s="14" t="n">
        <x:f>M33/1000000</x:f>
        <x:v>129.26186</x:v>
      </x:c>
      <x:c r="D33" s="16" t="n">
        <x:f>1-M33/L33</x:f>
        <x:v>0.0011675106612784036</x:v>
      </x:c>
      <x:c r="E33" s="14" t="n">
        <x:v>23.2850945</x:v>
      </x:c>
      <x:c r="F33" s="14" t="n">
        <x:v>0.07684712500000046</x:v>
      </x:c>
      <x:c r="G33" s="17" t="n">
        <x:f>N33/1048576</x:f>
        <x:v>831.421875</x:v>
      </x:c>
      <x:c r="H33" s="17" t="n">
        <x:f>O33/1048576</x:f>
        <x:v>128.265625</x:v>
      </x:c>
      <x:c r="I33" s="19" t="str">
        <x:v>3/3</x:v>
      </x:c>
      <x:c r="J33" s="19" t="n">
        <x:f>COUNTIFS($A$15:$A$50,A33,$I$15:$I$50,"3/3",$B$15:$B$50,"&lt;&gt;store",$C$15:$C$50,"&lt;"&amp;C33)+1</x:f>
        <x:v>1</x:v>
      </x:c>
      <x:c r="K33" s="19" t="str">
        <x:f>IF(J33=1,"体积最小","已验证")</x:f>
        <x:v>体积最小</x:v>
      </x:c>
      <x:c r="L33" s="8" t="n">
        <x:v>129412951</x:v>
      </x:c>
      <x:c r="M33" s="8" t="n">
        <x:v>129261860</x:v>
      </x:c>
      <x:c r="N33" s="8" t="n">
        <x:v>871809024</x:v>
      </x:c>
      <x:c r="O33" s="8" t="n">
        <x:v>134496256</x:v>
      </x:c>
      <x:c r="P33" s="8" t="n">
        <x:v>129261860</x:v>
      </x:c>
    </x:row>
    <x:row r="34" ht="24" customHeight="1">
      <x:c r="A34" s="2" t="str">
        <x:v>视频</x:v>
      </x:c>
      <x:c r="B34" s="2" t="str">
        <x:v>brotli-6</x:v>
      </x:c>
      <x:c r="C34" s="14" t="n">
        <x:f>M34/1000000</x:f>
        <x:v>129.37734</x:v>
      </x:c>
      <x:c r="D34" s="16" t="n">
        <x:f>1-M34/L34</x:f>
        <x:v>0.000275173386626526</x:v>
      </x:c>
      <x:c r="E34" s="14" t="n">
        <x:v>0.34201983299999483</x:v>
      </x:c>
      <x:c r="F34" s="14" t="n">
        <x:v>0.07344258300000206</x:v>
      </x:c>
      <x:c r="G34" s="17" t="n">
        <x:f>N34/1048576</x:f>
        <x:v>55.390625</x:v>
      </x:c>
      <x:c r="H34" s="17" t="n">
        <x:f>O34/1048576</x:f>
        <x:v>27.53125</x:v>
      </x:c>
      <x:c r="I34" s="19" t="str">
        <x:v>3/3</x:v>
      </x:c>
      <x:c r="J34" s="19" t="n">
        <x:f>COUNTIFS($A$15:$A$50,A34,$I$15:$I$50,"3/3",$B$15:$B$50,"&lt;&gt;store",$C$15:$C$50,"&lt;"&amp;C34)+1</x:f>
        <x:v>8</x:v>
      </x:c>
      <x:c r="K34" s="19" t="str">
        <x:f>IF(J34=1,"体积最小","已验证")</x:f>
        <x:v>已验证</x:v>
      </x:c>
      <x:c r="L34" s="8" t="n">
        <x:v>129412951</x:v>
      </x:c>
      <x:c r="M34" s="8" t="n">
        <x:v>129377340</x:v>
      </x:c>
      <x:c r="N34" s="8" t="n">
        <x:v>58081280</x:v>
      </x:c>
      <x:c r="O34" s="8" t="n">
        <x:v>28868608</x:v>
      </x:c>
      <x:c r="P34" s="8" t="n">
        <x:v>129377340</x:v>
      </x:c>
    </x:row>
    <x:row r="35" ht="24" customHeight="1">
      <x:c r="A35" s="2" t="str">
        <x:v>视频</x:v>
      </x:c>
      <x:c r="B35" s="2" t="str">
        <x:v>brotli-11</x:v>
      </x:c>
      <x:c r="C35" s="14" t="n">
        <x:f>M35/1000000</x:f>
        <x:v>129.368518</x:v>
      </x:c>
      <x:c r="D35" s="16" t="n">
        <x:f>1-M35/L35</x:f>
        <x:v>0.00034334276173020317</x:v>
      </x:c>
      <x:c r="E35" s="14" t="n">
        <x:v>187.87872658400002</x:v>
      </x:c>
      <x:c r="F35" s="14" t="n">
        <x:v>0.1301880840001104</x:v>
      </x:c>
      <x:c r="G35" s="17" t="n">
        <x:f>N35/1048576</x:f>
        <x:v>173.21875</x:v>
      </x:c>
      <x:c r="H35" s="17" t="n">
        <x:f>O35/1048576</x:f>
        <x:v>28.03125</x:v>
      </x:c>
      <x:c r="I35" s="19" t="str">
        <x:v>3/3</x:v>
      </x:c>
      <x:c r="J35" s="19" t="n">
        <x:f>COUNTIFS($A$15:$A$50,A35,$I$15:$I$50,"3/3",$B$15:$B$50,"&lt;&gt;store",$C$15:$C$50,"&lt;"&amp;C35)+1</x:f>
        <x:v>7</x:v>
      </x:c>
      <x:c r="K35" s="19" t="str">
        <x:f>IF(J35=1,"体积最小","已验证")</x:f>
        <x:v>已验证</x:v>
      </x:c>
      <x:c r="L35" s="8" t="n">
        <x:v>129412951</x:v>
      </x:c>
      <x:c r="M35" s="8" t="n">
        <x:v>129368518</x:v>
      </x:c>
      <x:c r="N35" s="8" t="n">
        <x:v>181633024</x:v>
      </x:c>
      <x:c r="O35" s="8" t="n">
        <x:v>29392896</x:v>
      </x:c>
      <x:c r="P35" s="8" t="n">
        <x:v>129368518</x:v>
      </x:c>
    </x:row>
    <x:row r="36" ht="24" customHeight="1">
      <x:c r="A36" s="2" t="str">
        <x:v>视频</x:v>
      </x:c>
      <x:c r="B36" s="2" t="str">
        <x:v>7z-lzma2-9</x:v>
      </x:c>
      <x:c r="C36" s="14" t="n">
        <x:f>M36/1000000</x:f>
        <x:v>129.280845</x:v>
      </x:c>
      <x:c r="D36" s="16" t="n">
        <x:f>1-M36/L36</x:f>
        <x:v>0.001020809733331851</x:v>
      </x:c>
      <x:c r="E36" s="14" t="n">
        <x:v>39.672060166999984</x:v>
      </x:c>
      <x:c r="F36" s="14" t="n">
        <x:v>0.18191454200001544</x:v>
      </x:c>
      <x:c r="G36" s="17" t="n">
        <x:f>N36/1048576</x:f>
        <x:v>1241.875</x:v>
      </x:c>
      <x:c r="H36" s="17" t="n">
        <x:f>O36/1048576</x:f>
        <x:v>258.21875</x:v>
      </x:c>
      <x:c r="I36" s="19" t="str">
        <x:v>3/3</x:v>
      </x:c>
      <x:c r="J36" s="19" t="n">
        <x:f>COUNTIFS($A$15:$A$50,A36,$I$15:$I$50,"3/3",$B$15:$B$50,"&lt;&gt;store",$C$15:$C$50,"&lt;"&amp;C36)+1</x:f>
        <x:v>3</x:v>
      </x:c>
      <x:c r="K36" s="19" t="str">
        <x:f>IF(J36=1,"体积最小","已验证")</x:f>
        <x:v>已验证</x:v>
      </x:c>
      <x:c r="L36" s="8" t="n">
        <x:v>129412951</x:v>
      </x:c>
      <x:c r="M36" s="8" t="n">
        <x:v>129280845</x:v>
      </x:c>
      <x:c r="N36" s="8" t="n">
        <x:v>1302200320</x:v>
      </x:c>
      <x:c r="O36" s="8" t="n">
        <x:v>270761984</x:v>
      </x:c>
      <x:c r="P36" s="8" t="n">
        <x:v>129280845</x:v>
      </x:c>
    </x:row>
    <x:row r="37" ht="24" customHeight="1">
      <x:c r="A37" s="2" t="str">
        <x:v>视频</x:v>
      </x:c>
      <x:c r="B37" s="2" t="str">
        <x:v>7z-ppmd-9</x:v>
      </x:c>
      <x:c r="C37" s="14" t="n">
        <x:f>M37/1000000</x:f>
        <x:v>131.841824</x:v>
      </x:c>
      <x:c r="D37" s="16" t="n">
        <x:f>1-M37/L37</x:f>
        <x:v>-0.01876839204447167</x:v>
      </x:c>
      <x:c r="E37" s="14" t="n">
        <x:v>108.70488008299998</x:v>
      </x:c>
      <x:c r="F37" s="14" t="n">
        <x:v>116.03706833300004</x:v>
      </x:c>
      <x:c r="G37" s="17" t="n">
        <x:f>N37/1048576</x:f>
        <x:v>261.171875</x:v>
      </x:c>
      <x:c r="H37" s="17" t="n">
        <x:f>O37/1048576</x:f>
        <x:v>260.234375</x:v>
      </x:c>
      <x:c r="I37" s="19" t="str">
        <x:v>3/3</x:v>
      </x:c>
      <x:c r="J37" s="19" t="n">
        <x:f>COUNTIFS($A$15:$A$50,A37,$I$15:$I$50,"3/3",$B$15:$B$50,"&lt;&gt;store",$C$15:$C$50,"&lt;"&amp;C37)+1</x:f>
        <x:v>10</x:v>
      </x:c>
      <x:c r="K37" s="19" t="str">
        <x:f>IF(J37=1,"体积最小","已验证")</x:f>
        <x:v>已验证</x:v>
      </x:c>
      <x:c r="L37" s="8" t="n">
        <x:v>129412951</x:v>
      </x:c>
      <x:c r="M37" s="8" t="n">
        <x:v>131841824</x:v>
      </x:c>
      <x:c r="N37" s="8" t="n">
        <x:v>273858560</x:v>
      </x:c>
      <x:c r="O37" s="8" t="n">
        <x:v>272875520</x:v>
      </x:c>
      <x:c r="P37" s="8" t="n">
        <x:v>131841824</x:v>
      </x:c>
    </x:row>
    <x:row r="38" ht="24" customHeight="1">
      <x:c r="A38" s="2" t="str">
        <x:v>视频</x:v>
      </x:c>
      <x:c r="B38" s="2" t="str">
        <x:v>zpaq-5</x:v>
      </x:c>
      <x:c r="C38" s="14" t="str">
        <x:v>未知</x:v>
      </x:c>
      <x:c r="D38" s="16" t="str">
        <x:v>未知</x:v>
      </x:c>
      <x:c r="E38" s="14" t="str">
        <x:v>&gt;300</x:v>
      </x:c>
      <x:c r="F38" s="14" t="str">
        <x:v>未执行</x:v>
      </x:c>
      <x:c r="G38" s="17" t="str">
        <x:v>未知</x:v>
      </x:c>
      <x:c r="H38" s="17" t="str">
        <x:v>未执行</x:v>
      </x:c>
      <x:c r="I38" s="19" t="str">
        <x:v>压缩超时</x:v>
      </x:c>
      <x:c r="J38" s="19"/>
      <x:c r="K38" s="19" t="str">
        <x:v>排除：压缩超时</x:v>
      </x:c>
      <x:c r="L38" s="8" t="n">
        <x:v>129412951</x:v>
      </x:c>
      <x:c r="M38" s="8"/>
      <x:c r="N38" s="8"/>
      <x:c r="O38" s="8"/>
      <x:c r="P38" s="8"/>
    </x:row>
    <x:row r="39" ht="24" customHeight="1">
      <x:c r="A39" s="2" t="str">
        <x:v>图像</x:v>
      </x:c>
      <x:c r="B39" s="2" t="str">
        <x:v>store</x:v>
      </x:c>
      <x:c r="C39" s="14" t="n">
        <x:f>M39/1000000</x:f>
        <x:v>37.91872</x:v>
      </x:c>
      <x:c r="D39" s="16" t="n">
        <x:f>1-M39/L39</x:f>
        <x:v>-0.0005399984775025235</x:v>
      </x:c>
      <x:c r="E39" s="14" t="n">
        <x:v>0.041540042000000055</x:v>
      </x:c>
      <x:c r="F39" s="14" t="n">
        <x:v>0.045014832999868304</x:v>
      </x:c>
      <x:c r="G39" s="17" t="n">
        <x:f>N39/1048576</x:f>
        <x:v>2.015625</x:v>
      </x:c>
      <x:c r="H39" s="17" t="n">
        <x:f>O39/1048576</x:f>
        <x:v>2.015625</x:v>
      </x:c>
      <x:c r="I39" s="19" t="str">
        <x:v>3/3</x:v>
      </x:c>
      <x:c r="J39" s="19"/>
      <x:c r="K39" s="19" t="str">
        <x:v>归档基线</x:v>
      </x:c>
      <x:c r="L39" s="8" t="n">
        <x:v>37898255</x:v>
      </x:c>
      <x:c r="M39" s="8" t="n">
        <x:v>37918720</x:v>
      </x:c>
      <x:c r="N39" s="8" t="n">
        <x:v>2113536</x:v>
      </x:c>
      <x:c r="O39" s="8" t="n">
        <x:v>2113536</x:v>
      </x:c>
      <x:c r="P39" s="8" t="n">
        <x:v>37918720</x:v>
      </x:c>
    </x:row>
    <x:row r="40" ht="24" customHeight="1">
      <x:c r="A40" s="2" t="str">
        <x:v>图像</x:v>
      </x:c>
      <x:c r="B40" s="2" t="str">
        <x:v>gzip-9</x:v>
      </x:c>
      <x:c r="C40" s="14" t="n">
        <x:f>M40/1000000</x:f>
        <x:v>37.031307</x:v>
      </x:c>
      <x:c r="D40" s="16" t="n">
        <x:f>1-M40/L40</x:f>
        <x:v>0.022875670660825964</x:v>
      </x:c>
      <x:c r="E40" s="14" t="n">
        <x:v>0.815373375</x:v>
      </x:c>
      <x:c r="F40" s="14" t="n">
        <x:v>0.08432791700010966</x:v>
      </x:c>
      <x:c r="G40" s="17" t="n">
        <x:f>N40/1048576</x:f>
        <x:v>1.4375</x:v>
      </x:c>
      <x:c r="H40" s="17" t="n">
        <x:f>O40/1048576</x:f>
        <x:v>1.203125</x:v>
      </x:c>
      <x:c r="I40" s="19" t="str">
        <x:v>3/3</x:v>
      </x:c>
      <x:c r="J40" s="19" t="n">
        <x:f>COUNTIFS($A$15:$A$50,A40,$I$15:$I$50,"3/3",$B$15:$B$50,"&lt;&gt;store",$C$15:$C$50,"&lt;"&amp;C40)+1</x:f>
        <x:v>8</x:v>
      </x:c>
      <x:c r="K40" s="19" t="str">
        <x:f>IF(J40=1,"体积最小","已验证")</x:f>
        <x:v>已验证</x:v>
      </x:c>
      <x:c r="L40" s="8" t="n">
        <x:v>37898255</x:v>
      </x:c>
      <x:c r="M40" s="8" t="n">
        <x:v>37031307</x:v>
      </x:c>
      <x:c r="N40" s="8" t="n">
        <x:v>1507328</x:v>
      </x:c>
      <x:c r="O40" s="8" t="n">
        <x:v>1261568</x:v>
      </x:c>
      <x:c r="P40" s="8" t="n">
        <x:v>37031307</x:v>
      </x:c>
    </x:row>
    <x:row r="41" ht="24" customHeight="1">
      <x:c r="A41" s="2" t="str">
        <x:v>图像</x:v>
      </x:c>
      <x:c r="B41" s="2" t="str">
        <x:v>bzip2-9</x:v>
      </x:c>
      <x:c r="C41" s="14" t="n">
        <x:f>M41/1000000</x:f>
        <x:v>37.066252</x:v>
      </x:c>
      <x:c r="D41" s="16" t="n">
        <x:f>1-M41/L41</x:f>
        <x:v>0.0219535965442208</x:v>
      </x:c>
      <x:c r="E41" s="14" t="n">
        <x:v>2.9954765829997996</x:v>
      </x:c>
      <x:c r="F41" s="14" t="n">
        <x:v>1.5061131249999997</x:v>
      </x:c>
      <x:c r="G41" s="17" t="n">
        <x:f>N41/1048576</x:f>
        <x:v>7.453125</x:v>
      </x:c>
      <x:c r="H41" s="17" t="n">
        <x:f>O41/1048576</x:f>
        <x:v>4.578125</x:v>
      </x:c>
      <x:c r="I41" s="19" t="str">
        <x:v>3/3</x:v>
      </x:c>
      <x:c r="J41" s="19" t="n">
        <x:f>COUNTIFS($A$15:$A$50,A41,$I$15:$I$50,"3/3",$B$15:$B$50,"&lt;&gt;store",$C$15:$C$50,"&lt;"&amp;C41)+1</x:f>
        <x:v>9</x:v>
      </x:c>
      <x:c r="K41" s="19" t="str">
        <x:f>IF(J41=1,"体积最小","已验证")</x:f>
        <x:v>已验证</x:v>
      </x:c>
      <x:c r="L41" s="8" t="n">
        <x:v>37898255</x:v>
      </x:c>
      <x:c r="M41" s="8" t="n">
        <x:v>37066252</x:v>
      </x:c>
      <x:c r="N41" s="8" t="n">
        <x:v>7815168</x:v>
      </x:c>
      <x:c r="O41" s="8" t="n">
        <x:v>4800512</x:v>
      </x:c>
      <x:c r="P41" s="8" t="n">
        <x:v>37066252</x:v>
      </x:c>
    </x:row>
    <x:row r="42" ht="24" customHeight="1">
      <x:c r="A42" s="2" t="str">
        <x:v>图像</x:v>
      </x:c>
      <x:c r="B42" s="2" t="str">
        <x:v>xz-9e</x:v>
      </x:c>
      <x:c r="C42" s="14" t="n">
        <x:f>M42/1000000</x:f>
        <x:v>36.888124</x:v>
      </x:c>
      <x:c r="D42" s="16" t="n">
        <x:f>1-M42/L42</x:f>
        <x:v>0.026653760179723318</x:v>
      </x:c>
      <x:c r="E42" s="14" t="n">
        <x:v>10.281840500000044</x:v>
      </x:c>
      <x:c r="F42" s="14" t="n">
        <x:v>0.7604077080000025</x:v>
      </x:c>
      <x:c r="G42" s="17" t="n">
        <x:f>N42/1048576</x:f>
        <x:v>392.015625</x:v>
      </x:c>
      <x:c r="H42" s="17" t="n">
        <x:f>O42/1048576</x:f>
        <x:v>38.109375</x:v>
      </x:c>
      <x:c r="I42" s="19" t="str">
        <x:v>3/3</x:v>
      </x:c>
      <x:c r="J42" s="19" t="n">
        <x:f>COUNTIFS($A$15:$A$50,A42,$I$15:$I$50,"3/3",$B$15:$B$50,"&lt;&gt;store",$C$15:$C$50,"&lt;"&amp;C42)+1</x:f>
        <x:v>6</x:v>
      </x:c>
      <x:c r="K42" s="19" t="str">
        <x:f>IF(J42=1,"体积最小","已验证")</x:f>
        <x:v>已验证</x:v>
      </x:c>
      <x:c r="L42" s="8" t="n">
        <x:v>37898255</x:v>
      </x:c>
      <x:c r="M42" s="8" t="n">
        <x:v>36888124</x:v>
      </x:c>
      <x:c r="N42" s="8" t="n">
        <x:v>411058176</x:v>
      </x:c>
      <x:c r="O42" s="8" t="n">
        <x:v>39960576</x:v>
      </x:c>
      <x:c r="P42" s="8" t="n">
        <x:v>36888124</x:v>
      </x:c>
    </x:row>
    <x:row r="43" ht="24" customHeight="1">
      <x:c r="A43" s="2" t="str">
        <x:v>图像</x:v>
      </x:c>
      <x:c r="B43" s="2" t="str">
        <x:v>zstd-3</x:v>
      </x:c>
      <x:c r="C43" s="14" t="n">
        <x:f>M43/1000000</x:f>
        <x:v>37.146562</x:v>
      </x:c>
      <x:c r="D43" s="16" t="n">
        <x:f>1-M43/L43</x:f>
        <x:v>0.019834501614916067</x:v>
      </x:c>
      <x:c r="E43" s="14" t="n">
        <x:v>0.08721650000006775</x:v>
      </x:c>
      <x:c r="F43" s="14" t="n">
        <x:v>0.02443920799987609</x:v>
      </x:c>
      <x:c r="G43" s="17" t="n">
        <x:f>N43/1048576</x:f>
        <x:v>7.8125</x:v>
      </x:c>
      <x:c r="H43" s="17" t="n">
        <x:f>O43/1048576</x:f>
        <x:v>7.09375</x:v>
      </x:c>
      <x:c r="I43" s="19" t="str">
        <x:v>3/3</x:v>
      </x:c>
      <x:c r="J43" s="19" t="n">
        <x:f>COUNTIFS($A$15:$A$50,A43,$I$15:$I$50,"3/3",$B$15:$B$50,"&lt;&gt;store",$C$15:$C$50,"&lt;"&amp;C43)+1</x:f>
        <x:v>10</x:v>
      </x:c>
      <x:c r="K43" s="19" t="str">
        <x:f>IF(J43=1,"体积最小","已验证")</x:f>
        <x:v>已验证</x:v>
      </x:c>
      <x:c r="L43" s="8" t="n">
        <x:v>37898255</x:v>
      </x:c>
      <x:c r="M43" s="8" t="n">
        <x:v>37146562</x:v>
      </x:c>
      <x:c r="N43" s="8" t="n">
        <x:v>8192000</x:v>
      </x:c>
      <x:c r="O43" s="8" t="n">
        <x:v>7438336</x:v>
      </x:c>
      <x:c r="P43" s="8" t="n">
        <x:v>37146562</x:v>
      </x:c>
    </x:row>
    <x:row r="44" ht="24" customHeight="1">
      <x:c r="A44" s="2" t="str">
        <x:v>图像</x:v>
      </x:c>
      <x:c r="B44" s="2" t="str">
        <x:v>zstd-19</x:v>
      </x:c>
      <x:c r="C44" s="14" t="n">
        <x:f>M44/1000000</x:f>
        <x:v>36.834042</x:v>
      </x:c>
      <x:c r="D44" s="16" t="n">
        <x:f>1-M44/L44</x:f>
        <x:v>0.028080791582620335</x:v>
      </x:c>
      <x:c r="E44" s="14" t="n">
        <x:v>5.556126457999998</x:v>
      </x:c>
      <x:c r="F44" s="14" t="n">
        <x:v>0.03996254100002261</x:v>
      </x:c>
      <x:c r="G44" s="17" t="n">
        <x:f>N44/1048576</x:f>
        <x:v>92.609375</x:v>
      </x:c>
      <x:c r="H44" s="17" t="n">
        <x:f>O44/1048576</x:f>
        <x:v>13.109375</x:v>
      </x:c>
      <x:c r="I44" s="19" t="str">
        <x:v>3/3</x:v>
      </x:c>
      <x:c r="J44" s="19" t="n">
        <x:f>COUNTIFS($A$15:$A$50,A44,$I$15:$I$50,"3/3",$B$15:$B$50,"&lt;&gt;store",$C$15:$C$50,"&lt;"&amp;C44)+1</x:f>
        <x:v>4</x:v>
      </x:c>
      <x:c r="K44" s="19" t="str">
        <x:f>IF(J44=1,"体积最小","已验证")</x:f>
        <x:v>已验证</x:v>
      </x:c>
      <x:c r="L44" s="8" t="n">
        <x:v>37898255</x:v>
      </x:c>
      <x:c r="M44" s="8" t="n">
        <x:v>36834042</x:v>
      </x:c>
      <x:c r="N44" s="8" t="n">
        <x:v>97107968</x:v>
      </x:c>
      <x:c r="O44" s="8" t="n">
        <x:v>13746176</x:v>
      </x:c>
      <x:c r="P44" s="8" t="n">
        <x:v>36834042</x:v>
      </x:c>
    </x:row>
    <x:row r="45" ht="24" customHeight="1">
      <x:c r="A45" s="2" t="str">
        <x:v>图像</x:v>
      </x:c>
      <x:c r="B45" s="2" t="str">
        <x:v>zstd-22</x:v>
      </x:c>
      <x:c r="C45" s="14" t="n">
        <x:f>M45/1000000</x:f>
        <x:v>36.833562</x:v>
      </x:c>
      <x:c r="D45" s="16" t="n">
        <x:f>1-M45/L45</x:f>
        <x:v>0.02809345707341937</x:v>
      </x:c>
      <x:c r="E45" s="14" t="n">
        <x:v>3.8489617079999334</x:v>
      </x:c>
      <x:c r="F45" s="14" t="n">
        <x:v>0.04838087500002075</x:v>
      </x:c>
      <x:c r="G45" s="17" t="n">
        <x:f>N45/1048576</x:f>
        <x:v>679.109375</x:v>
      </x:c>
      <x:c r="H45" s="17" t="n">
        <x:f>O45/1048576</x:f>
        <x:v>41.03125</x:v>
      </x:c>
      <x:c r="I45" s="19" t="str">
        <x:v>3/3</x:v>
      </x:c>
      <x:c r="J45" s="19" t="n">
        <x:f>COUNTIFS($A$15:$A$50,A45,$I$15:$I$50,"3/3",$B$15:$B$50,"&lt;&gt;store",$C$15:$C$50,"&lt;"&amp;C45)+1</x:f>
        <x:v>3</x:v>
      </x:c>
      <x:c r="K45" s="19" t="str">
        <x:f>IF(J45=1,"体积最小","已验证")</x:f>
        <x:v>已验证</x:v>
      </x:c>
      <x:c r="L45" s="8" t="n">
        <x:v>37898255</x:v>
      </x:c>
      <x:c r="M45" s="8" t="n">
        <x:v>36833562</x:v>
      </x:c>
      <x:c r="N45" s="8" t="n">
        <x:v>712097792</x:v>
      </x:c>
      <x:c r="O45" s="8" t="n">
        <x:v>43024384</x:v>
      </x:c>
      <x:c r="P45" s="8" t="n">
        <x:v>36833562</x:v>
      </x:c>
    </x:row>
    <x:row r="46" ht="24" customHeight="1">
      <x:c r="A46" s="2" t="str">
        <x:v>图像</x:v>
      </x:c>
      <x:c r="B46" s="2" t="str">
        <x:v>brotli-6</x:v>
      </x:c>
      <x:c r="C46" s="14" t="n">
        <x:f>M46/1000000</x:f>
        <x:v>36.856478</x:v>
      </x:c>
      <x:c r="D46" s="16" t="n">
        <x:f>1-M46/L46</x:f>
        <x:v>0.02748878543352462</x:v>
      </x:c>
      <x:c r="E46" s="14" t="n">
        <x:v>0.25543474999999916</x:v>
      </x:c>
      <x:c r="F46" s="14" t="n">
        <x:v>0.13615908400015542</x:v>
      </x:c>
      <x:c r="G46" s="17" t="n">
        <x:f>N46/1048576</x:f>
        <x:v>49.46875</x:v>
      </x:c>
      <x:c r="H46" s="17" t="n">
        <x:f>O46/1048576</x:f>
        <x:v>30.046875</x:v>
      </x:c>
      <x:c r="I46" s="19" t="str">
        <x:v>3/3</x:v>
      </x:c>
      <x:c r="J46" s="19" t="n">
        <x:f>COUNTIFS($A$15:$A$50,A46,$I$15:$I$50,"3/3",$B$15:$B$50,"&lt;&gt;store",$C$15:$C$50,"&lt;"&amp;C46)+1</x:f>
        <x:v>5</x:v>
      </x:c>
      <x:c r="K46" s="19" t="str">
        <x:f>IF(J46=1,"体积最小","已验证")</x:f>
        <x:v>已验证</x:v>
      </x:c>
      <x:c r="L46" s="8" t="n">
        <x:v>37898255</x:v>
      </x:c>
      <x:c r="M46" s="8" t="n">
        <x:v>36856478</x:v>
      </x:c>
      <x:c r="N46" s="8" t="n">
        <x:v>51871744</x:v>
      </x:c>
      <x:c r="O46" s="8" t="n">
        <x:v>31506432</x:v>
      </x:c>
      <x:c r="P46" s="8" t="n">
        <x:v>36856478</x:v>
      </x:c>
    </x:row>
    <x:row r="47" ht="24" customHeight="1">
      <x:c r="A47" s="2" t="str">
        <x:v>图像</x:v>
      </x:c>
      <x:c r="B47" s="2" t="str">
        <x:v>brotli-11</x:v>
      </x:c>
      <x:c r="C47" s="14" t="n">
        <x:f>M47/1000000</x:f>
        <x:v>36.695582</x:v>
      </x:c>
      <x:c r="D47" s="16" t="n">
        <x:f>1-M47/L47</x:f>
        <x:v>0.03173425794934359</x:v>
      </x:c>
      <x:c r="E47" s="14" t="n">
        <x:v>77.06949541699987</x:v>
      </x:c>
      <x:c r="F47" s="14" t="n">
        <x:v>0.23701154199989105</x:v>
      </x:c>
      <x:c r="G47" s="17" t="n">
        <x:f>N47/1048576</x:f>
        <x:v>240.609375</x:v>
      </x:c>
      <x:c r="H47" s="17" t="n">
        <x:f>O47/1048576</x:f>
        <x:v>28.25</x:v>
      </x:c>
      <x:c r="I47" s="19" t="str">
        <x:v>3/3</x:v>
      </x:c>
      <x:c r="J47" s="19" t="n">
        <x:f>COUNTIFS($A$15:$A$50,A47,$I$15:$I$50,"3/3",$B$15:$B$50,"&lt;&gt;store",$C$15:$C$50,"&lt;"&amp;C47)+1</x:f>
        <x:v>2</x:v>
      </x:c>
      <x:c r="K47" s="19" t="str">
        <x:f>IF(J47=1,"体积最小","已验证")</x:f>
        <x:v>已验证</x:v>
      </x:c>
      <x:c r="L47" s="8" t="n">
        <x:v>37898255</x:v>
      </x:c>
      <x:c r="M47" s="8" t="n">
        <x:v>36695582</x:v>
      </x:c>
      <x:c r="N47" s="8" t="n">
        <x:v>252297216</x:v>
      </x:c>
      <x:c r="O47" s="8" t="n">
        <x:v>29622272</x:v>
      </x:c>
      <x:c r="P47" s="8" t="n">
        <x:v>36695582</x:v>
      </x:c>
    </x:row>
    <x:row r="48" ht="24" customHeight="1">
      <x:c r="A48" s="2" t="str">
        <x:v>图像</x:v>
      </x:c>
      <x:c r="B48" s="2" t="str">
        <x:v>7z-lzma2-9</x:v>
      </x:c>
      <x:c r="C48" s="14" t="n">
        <x:f>M48/1000000</x:f>
        <x:v>36.892261</x:v>
      </x:c>
      <x:c r="D48" s="16" t="n">
        <x:f>1-M48/L48</x:f>
        <x:v>0.0265445994808996</x:v>
      </x:c>
      <x:c r="E48" s="14" t="n">
        <x:v>8.217116833000091</x:v>
      </x:c>
      <x:c r="F48" s="14" t="n">
        <x:v>0.5309071249998851</x:v>
      </x:c>
      <x:c r="G48" s="17" t="n">
        <x:f>N48/1048576</x:f>
        <x:v>393.234375</x:v>
      </x:c>
      <x:c r="H48" s="17" t="n">
        <x:f>O48/1048576</x:f>
        <x:v>76.96875</x:v>
      </x:c>
      <x:c r="I48" s="19" t="str">
        <x:v>3/3</x:v>
      </x:c>
      <x:c r="J48" s="19" t="n">
        <x:f>COUNTIFS($A$15:$A$50,A48,$I$15:$I$50,"3/3",$B$15:$B$50,"&lt;&gt;store",$C$15:$C$50,"&lt;"&amp;C48)+1</x:f>
        <x:v>7</x:v>
      </x:c>
      <x:c r="K48" s="19" t="str">
        <x:f>IF(J48=1,"体积最小","已验证")</x:f>
        <x:v>已验证</x:v>
      </x:c>
      <x:c r="L48" s="8" t="n">
        <x:v>37898255</x:v>
      </x:c>
      <x:c r="M48" s="8" t="n">
        <x:v>36892261</x:v>
      </x:c>
      <x:c r="N48" s="8" t="n">
        <x:v>412336128</x:v>
      </x:c>
      <x:c r="O48" s="8" t="n">
        <x:v>80707584</x:v>
      </x:c>
      <x:c r="P48" s="8" t="n">
        <x:v>36892261</x:v>
      </x:c>
    </x:row>
    <x:row r="49" ht="24" customHeight="1">
      <x:c r="A49" s="2" t="str">
        <x:v>图像</x:v>
      </x:c>
      <x:c r="B49" s="2" t="str">
        <x:v>7z-ppmd-9</x:v>
      </x:c>
      <x:c r="C49" s="14" t="n">
        <x:f>M49/1000000</x:f>
        <x:v>37.268394</x:v>
      </x:c>
      <x:c r="D49" s="16" t="n">
        <x:f>1-M49/L49</x:f>
        <x:v>0.01661978895862093</x:v>
      </x:c>
      <x:c r="E49" s="14" t="n">
        <x:v>18.555203665999898</x:v>
      </x:c>
      <x:c r="F49" s="14" t="n">
        <x:v>19.79613712499986</x:v>
      </x:c>
      <x:c r="G49" s="17" t="n">
        <x:f>N49/1048576</x:f>
        <x:v>261.171875</x:v>
      </x:c>
      <x:c r="H49" s="17" t="n">
        <x:f>O49/1048576</x:f>
        <x:v>260.28125</x:v>
      </x:c>
      <x:c r="I49" s="19" t="str">
        <x:v>3/3</x:v>
      </x:c>
      <x:c r="J49" s="19" t="n">
        <x:f>COUNTIFS($A$15:$A$50,A49,$I$15:$I$50,"3/3",$B$15:$B$50,"&lt;&gt;store",$C$15:$C$50,"&lt;"&amp;C49)+1</x:f>
        <x:v>11</x:v>
      </x:c>
      <x:c r="K49" s="19" t="str">
        <x:f>IF(J49=1,"体积最小","已验证")</x:f>
        <x:v>已验证</x:v>
      </x:c>
      <x:c r="L49" s="8" t="n">
        <x:v>37898255</x:v>
      </x:c>
      <x:c r="M49" s="8" t="n">
        <x:v>37268394</x:v>
      </x:c>
      <x:c r="N49" s="8" t="n">
        <x:v>273858560</x:v>
      </x:c>
      <x:c r="O49" s="8" t="n">
        <x:v>272924672</x:v>
      </x:c>
      <x:c r="P49" s="8" t="n">
        <x:v>37268394</x:v>
      </x:c>
    </x:row>
    <x:row r="50" ht="24" customHeight="1">
      <x:c r="A50" s="2" t="str">
        <x:v>图像</x:v>
      </x:c>
      <x:c r="B50" s="2" t="str">
        <x:v>zpaq-5</x:v>
      </x:c>
      <x:c r="C50" s="14" t="n">
        <x:f>M50/1000000</x:f>
        <x:v>36.402344</x:v>
      </x:c>
      <x:c r="D50" s="16" t="n">
        <x:f>1-M50/L50</x:f>
        <x:v>0.03947176459707713</x:v>
      </x:c>
      <x:c r="E50" s="14" t="n">
        <x:v>133.964225875</x:v>
      </x:c>
      <x:c r="F50" s="14" t="n">
        <x:v>137.79962133300023</x:v>
      </x:c>
      <x:c r="G50" s="17" t="n">
        <x:f>N50/1048576</x:f>
        <x:v>768.421875</x:v>
      </x:c>
      <x:c r="H50" s="17" t="n">
        <x:f>O50/1048576</x:f>
        <x:v>768.421875</x:v>
      </x:c>
      <x:c r="I50" s="19" t="str">
        <x:v>3/3</x:v>
      </x:c>
      <x:c r="J50" s="19" t="n">
        <x:f>COUNTIFS($A$15:$A$50,A50,$I$15:$I$50,"3/3",$B$15:$B$50,"&lt;&gt;store",$C$15:$C$50,"&lt;"&amp;C50)+1</x:f>
        <x:v>1</x:v>
      </x:c>
      <x:c r="K50" s="19" t="str">
        <x:f>IF(J50=1,"体积最小","已验证")</x:f>
        <x:v>体积最小</x:v>
      </x:c>
      <x:c r="L50" s="8" t="n">
        <x:v>37898255</x:v>
      </x:c>
      <x:c r="M50" s="8" t="n">
        <x:v>36402344</x:v>
      </x:c>
      <x:c r="N50" s="8" t="n">
        <x:v>805748736</x:v>
      </x:c>
      <x:c r="O50" s="8" t="n">
        <x:v>805748736</x:v>
      </x:c>
      <x:c r="P50" s="8" t="n">
        <x:v>36402344</x:v>
      </x:c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</x:row>
    <x:row r="53" ht="32" customHeight="1">
      <x:c r="A53" s="3" t="str">
        <x:v>DMG 对照：固定模拟载荷</x:v>
      </x:c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</x:row>
    <x:row r="54" ht="24" customHeight="1">
      <x:c r="A54" s="2" t="str">
        <x:v>相同程序快照与资源；不是当前正式发布包。每组一次，镜像验证及挂载 SHA-256 通过。</x:v>
      </x:c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</x:row>
    <x:row r="55" ht="24" customHeight="1">
      <x:c r="A55" s="2" t="str">
        <x:v>制作峰值为 hdiutil CLI RSS，不代表镜像服务与内核缓存的总内存。</x:v>
      </x:c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</x:row>
    <x:row r="56" ht="44" customHeight="1">
      <x:c r="A56" s="7" t="str">
        <x:v>资源载荷</x:v>
      </x:c>
      <x:c r="B56" s="7" t="str">
        <x:v>镜像格式</x:v>
      </x:c>
      <x:c r="C56" s="7" t="str">
        <x:v>镜像 MB</x:v>
      </x:c>
      <x:c r="D56" s="7" t="str">
        <x:v>预压缩净节省</x:v>
      </x:c>
      <x:c r="E56" s="7" t="str">
        <x:v>制作秒</x:v>
      </x:c>
      <x:c r="F56" s="7" t="str">
        <x:v>制作峰值 MiB</x:v>
      </x:c>
      <x:c r="G56" s="7" t="str">
        <x:v>恢复文件数</x:v>
      </x:c>
      <x:c r="H56" s="7" t="str">
        <x:v>镜像 / 文件核验</x:v>
      </x:c>
      <x:c r="I56" s="7" t="str">
        <x:v>镜像 bytes</x:v>
      </x:c>
      <x:c r="J56" s="7" t="str">
        <x:v>制作峰值 RSS bytes</x:v>
      </x:c>
      <x:c r="K56" s="2"/>
      <x:c r="L56" s="2"/>
      <x:c r="M56" s="2"/>
      <x:c r="N56" s="2"/>
      <x:c r="O56" s="2"/>
      <x:c r="P56" s="2"/>
    </x:row>
    <x:row r="57" ht="24" customHeight="1">
      <x:c r="A57" s="2" t="str">
        <x:v>原资源</x:v>
      </x:c>
      <x:c r="B57" s="2" t="str">
        <x:v>UDZO</x:v>
      </x:c>
      <x:c r="C57" s="14" t="n">
        <x:f>I57/1000000</x:f>
        <x:v>190.751686</x:v>
      </x:c>
      <x:c r="D57" s="16" t="n">
        <x:f>1-I57/SUMIFS($I$57:$I$60,$B$57:$B$60,B57,$A$57:$A$60,"原资源")</x:f>
        <x:v>0</x:v>
      </x:c>
      <x:c r="E57" s="14" t="n">
        <x:v>22.25244266599998</x:v>
      </x:c>
      <x:c r="F57" s="17" t="n">
        <x:f>J57/1048576</x:f>
        <x:v>3.96875</x:v>
      </x:c>
      <x:c r="G57" s="19" t="n">
        <x:v>30</x:v>
      </x:c>
      <x:c r="H57" s="19" t="str">
        <x:v>通过</x:v>
      </x:c>
      <x:c r="I57" s="8" t="n">
        <x:v>190751686</x:v>
      </x:c>
      <x:c r="J57" s="8" t="n">
        <x:v>4161536</x:v>
      </x:c>
      <x:c r="K57" s="2"/>
      <x:c r="L57" s="2"/>
      <x:c r="M57" s="2"/>
      <x:c r="N57" s="2"/>
      <x:c r="O57" s="2"/>
      <x:c r="P57" s="2"/>
    </x:row>
    <x:row r="58" ht="24" customHeight="1">
      <x:c r="A58" s="2" t="str">
        <x:v>brotli-11</x:v>
      </x:c>
      <x:c r="B58" s="2" t="str">
        <x:v>UDZO</x:v>
      </x:c>
      <x:c r="C58" s="14" t="n">
        <x:f>I58/1000000</x:f>
        <x:v>190.143814</x:v>
      </x:c>
      <x:c r="D58" s="16" t="n">
        <x:f>1-I58/SUMIFS($I$57:$I$60,$B$57:$B$60,B58,$A$57:$A$60,"原资源")</x:f>
        <x:v>0.0031867188843615057</x:v>
      </x:c>
      <x:c r="E58" s="14" t="n">
        <x:v>10.12205775000001</x:v>
      </x:c>
      <x:c r="F58" s="17" t="n">
        <x:f>J58/1048576</x:f>
        <x:v>4.09375</x:v>
      </x:c>
      <x:c r="G58" s="19" t="n">
        <x:v>30</x:v>
      </x:c>
      <x:c r="H58" s="19" t="str">
        <x:v>通过</x:v>
      </x:c>
      <x:c r="I58" s="8" t="n">
        <x:v>190143814</x:v>
      </x:c>
      <x:c r="J58" s="8" t="n">
        <x:v>4292608</x:v>
      </x:c>
      <x:c r="K58" s="2"/>
      <x:c r="L58" s="2"/>
      <x:c r="M58" s="2"/>
      <x:c r="N58" s="2"/>
      <x:c r="O58" s="2"/>
      <x:c r="P58" s="2"/>
    </x:row>
    <x:row r="59" ht="24" customHeight="1">
      <x:c r="A59" s="2" t="str">
        <x:v>原资源</x:v>
      </x:c>
      <x:c r="B59" s="2" t="str">
        <x:v>ULMO</x:v>
      </x:c>
      <x:c r="C59" s="14" t="n">
        <x:f>I59/1000000</x:f>
        <x:v>183.576328</x:v>
      </x:c>
      <x:c r="D59" s="16" t="n">
        <x:f>1-I59/SUMIFS($I$57:$I$60,$B$57:$B$60,B59,$A$57:$A$60,"原资源")</x:f>
        <x:v>0</x:v>
      </x:c>
      <x:c r="E59" s="14" t="n">
        <x:v>36.32286341600002</x:v>
      </x:c>
      <x:c r="F59" s="17" t="n">
        <x:f>J59/1048576</x:f>
        <x:v>4.046875</x:v>
      </x:c>
      <x:c r="G59" s="19" t="n">
        <x:v>30</x:v>
      </x:c>
      <x:c r="H59" s="19" t="str">
        <x:v>通过</x:v>
      </x:c>
      <x:c r="I59" s="8" t="n">
        <x:v>183576328</x:v>
      </x:c>
      <x:c r="J59" s="8" t="n">
        <x:v>4243456</x:v>
      </x:c>
      <x:c r="K59" s="2"/>
      <x:c r="L59" s="2"/>
      <x:c r="M59" s="2"/>
      <x:c r="N59" s="2"/>
      <x:c r="O59" s="2"/>
      <x:c r="P59" s="2"/>
    </x:row>
    <x:row r="60" ht="24" customHeight="1">
      <x:c r="A60" s="2" t="str">
        <x:v>brotli-11</x:v>
      </x:c>
      <x:c r="B60" s="2" t="str">
        <x:v>ULMO</x:v>
      </x:c>
      <x:c r="C60" s="14" t="n">
        <x:f>I60/1000000</x:f>
        <x:v>183.308698</x:v>
      </x:c>
      <x:c r="D60" s="16" t="n">
        <x:f>1-I60/SUMIFS($I$57:$I$60,$B$57:$B$60,B60,$A$57:$A$60,"原资源")</x:f>
        <x:v>0.0014578677050344213</x:v>
      </x:c>
      <x:c r="E60" s="14" t="n">
        <x:v>34.34996512499998</x:v>
      </x:c>
      <x:c r="F60" s="17" t="n">
        <x:f>J60/1048576</x:f>
        <x:v>4.0625</x:v>
      </x:c>
      <x:c r="G60" s="19" t="n">
        <x:v>30</x:v>
      </x:c>
      <x:c r="H60" s="19" t="str">
        <x:v>通过</x:v>
      </x:c>
      <x:c r="I60" s="8" t="n">
        <x:v>183308698</x:v>
      </x:c>
      <x:c r="J60" s="8" t="n">
        <x:v>4259840</x:v>
      </x:c>
      <x:c r="K60" s="2"/>
      <x:c r="L60" s="2"/>
      <x:c r="M60" s="2"/>
      <x:c r="N60" s="2"/>
      <x:c r="O60" s="2"/>
      <x:c r="P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</x:row>
    <x:row r="62" ht="24" customHeight="1">
      <x:c r="A62" s="2" t="str">
        <x:v>安装后还原仍占 167.313 MB；保留压缩包时还需加计归档体积。</x:v>
      </x:c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</x:row>
    <x:row r="65" ht="24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</x:row>
  </x:sheetData>
  <x:conditionalFormatting sqref="A15:K50">
    <x:cfRule type="expression" dxfId="1" priority="1">
      <x:formula>$K15="体积最小"</x:formula>
    </x:cfRule>
    <x:cfRule type="expression" dxfId="2" priority="2">
      <x:formula>ISNUMBER(SEARCH("超时",$I15))</x:formula>
    </x:cfRule>
  </x:conditionalFormatting>
  <x:conditionalFormatting sqref="K15:K50">
    <x:cfRule type="containsText" dxfId="3" priority="3" operator="containsText" text="排除"/>
  </x:conditionalFormatting>
  <x:conditionalFormatting sqref="D15:D50">
    <x:cfRule type="cellIs" dxfId="4" priority="4" operator="lessThan">
      <x:formula>0</x:formula>
    </x:cfRule>
  </x:conditionalFormatting>
  <x:pageMargins left="0.7" right="0.7" top="0.75" bottom="0.75" header="0.3" footer="0.3"/>
  <x:tableParts count="2">
    <x:tablePart xmlns:r="http://schemas.openxmlformats.org/officeDocument/2006/relationships" r:id="R9054aa59c2374944"/>
    <x:tablePart xmlns:r="http://schemas.openxmlformats.org/officeDocument/2006/relationships" r:id="R3d57c439968a4f6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7" hidden="0" customWidth="1"/>
    <x:col min="2" max="2" width="20" hidden="0" customWidth="1"/>
    <x:col min="3" max="3" width="12" hidden="0" customWidth="1"/>
    <x:col min="4" max="4" width="12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68" hidden="0" customWidth="1"/>
    <x:col min="16" max="16" width="68" hidden="0" customWidth="1"/>
  </x:cols>
  <x:sheetData>
    <x:row r="1" ht="32" customHeight="1">
      <x:c r="A1" s="3" t="str">
        <x:v>压缩实验原始观测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4" customHeight="1">
      <x:c r="A2" s="2" t="str">
        <x:v>来源：results.json（核对输入等价性后合并的逐轮记录）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4" customHeight="1">
      <x:c r="A3" s="2" t="str">
        <x:v>Apple M1 / 8 GiB / macOS-27.0.1-arm64-arm-64bit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24" customHeight="1">
      <x:c r="A4" s="2" t="str">
        <x:v>单压缩线程，阶段超时 300 秒。失败后的剩余轮次跳过。RSS 单位为 bytes。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44" customHeight="1">
      <x:c r="A6" s="7" t="str">
        <x:v>数据集</x:v>
      </x:c>
      <x:c r="B6" s="7" t="str">
        <x:v>算法参数</x:v>
      </x:c>
      <x:c r="C6" s="7" t="str">
        <x:v>轮次</x:v>
      </x:c>
      <x:c r="D6" s="7" t="str">
        <x:v>状态</x:v>
      </x:c>
      <x:c r="E6" s="7" t="str">
        <x:v>原文件 bytes</x:v>
      </x:c>
      <x:c r="F6" s="7" t="str">
        <x:v>统一 tar bytes</x:v>
      </x:c>
      <x:c r="G6" s="7" t="str">
        <x:v>压缩产物 bytes</x:v>
      </x:c>
      <x:c r="H6" s="7" t="str">
        <x:v>压缩秒</x:v>
      </x:c>
      <x:c r="I6" s="7" t="str">
        <x:v>解压秒</x:v>
      </x:c>
      <x:c r="J6" s="7" t="str">
        <x:v>压缩峰值 RSS bytes</x:v>
      </x:c>
      <x:c r="K6" s="7" t="str">
        <x:v>解压峰值 RSS bytes</x:v>
      </x:c>
      <x:c r="L6" s="7" t="str">
        <x:v>核验文件数</x:v>
      </x:c>
      <x:c r="M6" s="7" t="str">
        <x:v>预期文件数</x:v>
      </x:c>
      <x:c r="N6" s="7" t="str">
        <x:v>解压及核验秒</x:v>
      </x:c>
      <x:c r="O6" s="7" t="str">
        <x:v>压缩产物 SHA-256</x:v>
      </x:c>
      <x:c r="P6" s="7" t="str">
        <x:v>统一 tar SHA-256</x:v>
      </x:c>
      <x:c r="Q6" s="2"/>
    </x:row>
    <x:row r="7" ht="24" customHeight="1">
      <x:c r="A7" s="2" t="str">
        <x:v>视频</x:v>
      </x:c>
      <x:c r="B7" s="2" t="str">
        <x:v>store</x:v>
      </x:c>
      <x:c r="C7" s="10" t="n">
        <x:v>1</x:v>
      </x:c>
      <x:c r="D7" s="10" t="str">
        <x:v>ok</x:v>
      </x:c>
      <x:c r="E7" s="8" t="n">
        <x:v>129412951</x:v>
      </x:c>
      <x:c r="F7" s="8" t="n">
        <x:v>129423360</x:v>
      </x:c>
      <x:c r="G7" s="8" t="n">
        <x:v>129423360</x:v>
      </x:c>
      <x:c r="H7" s="9" t="n">
        <x:v>0.13594224999999982</x:v>
      </x:c>
      <x:c r="I7" s="9" t="n">
        <x:v>0.07845945900000006</x:v>
      </x:c>
      <x:c r="J7" s="8" t="n">
        <x:v>2113536</x:v>
      </x:c>
      <x:c r="K7" s="8" t="n">
        <x:v>2113536</x:v>
      </x:c>
      <x:c r="L7" s="10" t="n">
        <x:v>12</x:v>
      </x:c>
      <x:c r="M7" s="10" t="n">
        <x:v>12</x:v>
      </x:c>
      <x:c r="N7" s="9" t="n">
        <x:v>0.5143920829999999</x:v>
      </x:c>
      <x:c r="O7" s="2" t="str">
        <x:v>e6b806b3833b55647983afe8d694b5d817cf68d0d7d19a69c7a44ad29c3313c3</x:v>
      </x:c>
      <x:c r="P7" s="2" t="str">
        <x:v>e6b806b3833b55647983afe8d694b5d817cf68d0d7d19a69c7a44ad29c3313c3</x:v>
      </x:c>
      <x:c r="Q7" s="2"/>
    </x:row>
    <x:row r="8" ht="24" customHeight="1">
      <x:c r="A8" s="2" t="str">
        <x:v>视频</x:v>
      </x:c>
      <x:c r="B8" s="2" t="str">
        <x:v>gzip-9</x:v>
      </x:c>
      <x:c r="C8" s="10" t="n">
        <x:v>1</x:v>
      </x:c>
      <x:c r="D8" s="10" t="str">
        <x:v>ok</x:v>
      </x:c>
      <x:c r="E8" s="8" t="n">
        <x:v>129412951</x:v>
      </x:c>
      <x:c r="F8" s="8" t="n">
        <x:v>129423360</x:v>
      </x:c>
      <x:c r="G8" s="8" t="n">
        <x:v>129327935</x:v>
      </x:c>
      <x:c r="H8" s="9" t="n">
        <x:v>2.7596848749999996</x:v>
      </x:c>
      <x:c r="I8" s="9" t="n">
        <x:v>0.12811008300000015</x:v>
      </x:c>
      <x:c r="J8" s="8" t="n">
        <x:v>1490944</x:v>
      </x:c>
      <x:c r="K8" s="8" t="n">
        <x:v>1261568</x:v>
      </x:c>
      <x:c r="L8" s="10" t="n">
        <x:v>12</x:v>
      </x:c>
      <x:c r="M8" s="10" t="n">
        <x:v>12</x:v>
      </x:c>
      <x:c r="N8" s="9" t="n">
        <x:v>0.34729583300000044</x:v>
      </x:c>
      <x:c r="O8" s="2" t="str">
        <x:v>04d9d520c623ab13a3f31e8f7a64d96256d800cbfc6043823fdd7f4007d5faac</x:v>
      </x:c>
      <x:c r="P8" s="2" t="str">
        <x:v>e6b806b3833b55647983afe8d694b5d817cf68d0d7d19a69c7a44ad29c3313c3</x:v>
      </x:c>
      <x:c r="Q8" s="2"/>
    </x:row>
    <x:row r="9" ht="24" customHeight="1">
      <x:c r="A9" s="2" t="str">
        <x:v>视频</x:v>
      </x:c>
      <x:c r="B9" s="2" t="str">
        <x:v>bzip2-9</x:v>
      </x:c>
      <x:c r="C9" s="10" t="n">
        <x:v>1</x:v>
      </x:c>
      <x:c r="D9" s="10" t="str">
        <x:v>ok</x:v>
      </x:c>
      <x:c r="E9" s="8" t="n">
        <x:v>129412951</x:v>
      </x:c>
      <x:c r="F9" s="8" t="n">
        <x:v>129423360</x:v>
      </x:c>
      <x:c r="G9" s="8" t="n">
        <x:v>129895419</x:v>
      </x:c>
      <x:c r="H9" s="9" t="n">
        <x:v>10.996472167</x:v>
      </x:c>
      <x:c r="I9" s="9" t="n">
        <x:v>5.229655166000001</x:v>
      </x:c>
      <x:c r="J9" s="8" t="n">
        <x:v>7798784</x:v>
      </x:c>
      <x:c r="K9" s="8" t="n">
        <x:v>4800512</x:v>
      </x:c>
      <x:c r="L9" s="10" t="n">
        <x:v>12</x:v>
      </x:c>
      <x:c r="M9" s="10" t="n">
        <x:v>12</x:v>
      </x:c>
      <x:c r="N9" s="9" t="n">
        <x:v>5.444390834</x:v>
      </x:c>
      <x:c r="O9" s="2" t="str">
        <x:v>dfbf55fff0c1ca661001a6d4c121c80469c15a31b0401e0b38b9af28bc5697af</x:v>
      </x:c>
      <x:c r="P9" s="2" t="str">
        <x:v>e6b806b3833b55647983afe8d694b5d817cf68d0d7d19a69c7a44ad29c3313c3</x:v>
      </x:c>
      <x:c r="Q9" s="2"/>
    </x:row>
    <x:row r="10" ht="24" customHeight="1">
      <x:c r="A10" s="2" t="str">
        <x:v>视频</x:v>
      </x:c>
      <x:c r="B10" s="2" t="str">
        <x:v>xz-9e</x:v>
      </x:c>
      <x:c r="C10" s="10" t="n">
        <x:v>1</x:v>
      </x:c>
      <x:c r="D10" s="10" t="str">
        <x:v>ok</x:v>
      </x:c>
      <x:c r="E10" s="8" t="n">
        <x:v>129412951</x:v>
      </x:c>
      <x:c r="F10" s="8" t="n">
        <x:v>129423360</x:v>
      </x:c>
      <x:c r="G10" s="8" t="n">
        <x:v>129284764</x:v>
      </x:c>
      <x:c r="H10" s="9" t="n">
        <x:v>56.834560833</x:v>
      </x:c>
      <x:c r="I10" s="9" t="n">
        <x:v>0.45667025000000194</x:v>
      </x:c>
      <x:c r="J10" s="8" t="n">
        <x:v>706658304</x:v>
      </x:c>
      <x:c r="K10" s="8" t="n">
        <x:v>69173248</x:v>
      </x:c>
      <x:c r="L10" s="10" t="n">
        <x:v>12</x:v>
      </x:c>
      <x:c r="M10" s="10" t="n">
        <x:v>12</x:v>
      </x:c>
      <x:c r="N10" s="9" t="n">
        <x:v>0.714432458999994</x:v>
      </x:c>
      <x:c r="O10" s="2" t="str">
        <x:v>d773bbf26d1107ba608d3cc9b78457ae2cd38e5eca2b9b24f822341d16802db0</x:v>
      </x:c>
      <x:c r="P10" s="2" t="str">
        <x:v>e6b806b3833b55647983afe8d694b5d817cf68d0d7d19a69c7a44ad29c3313c3</x:v>
      </x:c>
      <x:c r="Q10" s="2"/>
    </x:row>
    <x:row r="11" ht="24" customHeight="1">
      <x:c r="A11" s="2" t="str">
        <x:v>视频</x:v>
      </x:c>
      <x:c r="B11" s="2" t="str">
        <x:v>zstd-3</x:v>
      </x:c>
      <x:c r="C11" s="10" t="n">
        <x:v>1</x:v>
      </x:c>
      <x:c r="D11" s="10" t="str">
        <x:v>ok</x:v>
      </x:c>
      <x:c r="E11" s="8" t="n">
        <x:v>129412951</x:v>
      </x:c>
      <x:c r="F11" s="8" t="n">
        <x:v>129423360</x:v>
      </x:c>
      <x:c r="G11" s="8" t="n">
        <x:v>129344723</x:v>
      </x:c>
      <x:c r="H11" s="9" t="n">
        <x:v>0.13027108400000031</x:v>
      </x:c>
      <x:c r="I11" s="9" t="n">
        <x:v>0.12375666699999499</x:v>
      </x:c>
      <x:c r="J11" s="8" t="n">
        <x:v>8175616</x:v>
      </x:c>
      <x:c r="K11" s="8" t="n">
        <x:v>7454720</x:v>
      </x:c>
      <x:c r="L11" s="10" t="n">
        <x:v>12</x:v>
      </x:c>
      <x:c r="M11" s="10" t="n">
        <x:v>12</x:v>
      </x:c>
      <x:c r="N11" s="9" t="n">
        <x:v>0.34349549999998885</x:v>
      </x:c>
      <x:c r="O11" s="2" t="str">
        <x:v>ff20fc1045745e7071c98de8e8481ffa44302051a0b56b15798e90dac947a2a1</x:v>
      </x:c>
      <x:c r="P11" s="2" t="str">
        <x:v>e6b806b3833b55647983afe8d694b5d817cf68d0d7d19a69c7a44ad29c3313c3</x:v>
      </x:c>
      <x:c r="Q11" s="2"/>
    </x:row>
    <x:row r="12" ht="24" customHeight="1">
      <x:c r="A12" s="2" t="str">
        <x:v>视频</x:v>
      </x:c>
      <x:c r="B12" s="2" t="str">
        <x:v>zstd-19</x:v>
      </x:c>
      <x:c r="C12" s="10" t="n">
        <x:v>1</x:v>
      </x:c>
      <x:c r="D12" s="10" t="str">
        <x:v>ok</x:v>
      </x:c>
      <x:c r="E12" s="8" t="n">
        <x:v>129412951</x:v>
      </x:c>
      <x:c r="F12" s="8" t="n">
        <x:v>129423360</x:v>
      </x:c>
      <x:c r="G12" s="8" t="n">
        <x:v>129266841</x:v>
      </x:c>
      <x:c r="H12" s="9" t="n">
        <x:v>23.535946917000004</x:v>
      </x:c>
      <x:c r="I12" s="9" t="n">
        <x:v>0.07497745800000644</x:v>
      </x:c>
      <x:c r="J12" s="8" t="n">
        <x:v>96370688</x:v>
      </x:c>
      <x:c r="K12" s="8" t="n">
        <x:v>13713408</x:v>
      </x:c>
      <x:c r="L12" s="10" t="n">
        <x:v>12</x:v>
      </x:c>
      <x:c r="M12" s="10" t="n">
        <x:v>12</x:v>
      </x:c>
      <x:c r="N12" s="9" t="n">
        <x:v>0.28403516599999534</x:v>
      </x:c>
      <x:c r="O12" s="2" t="str">
        <x:v>375d7689e953eacb338d0ce54c815a71bbc9f6999b3f5e9f0445dd631d71b439</x:v>
      </x:c>
      <x:c r="P12" s="2" t="str">
        <x:v>e6b806b3833b55647983afe8d694b5d817cf68d0d7d19a69c7a44ad29c3313c3</x:v>
      </x:c>
      <x:c r="Q12" s="2"/>
    </x:row>
    <x:row r="13" ht="24" customHeight="1">
      <x:c r="A13" s="2" t="str">
        <x:v>视频</x:v>
      </x:c>
      <x:c r="B13" s="2" t="str">
        <x:v>zstd-22</x:v>
      </x:c>
      <x:c r="C13" s="10" t="n">
        <x:v>1</x:v>
      </x:c>
      <x:c r="D13" s="10" t="str">
        <x:v>ok</x:v>
      </x:c>
      <x:c r="E13" s="8" t="n">
        <x:v>129412951</x:v>
      </x:c>
      <x:c r="F13" s="8" t="n">
        <x:v>129423360</x:v>
      </x:c>
      <x:c r="G13" s="8" t="n">
        <x:v>129261860</x:v>
      </x:c>
      <x:c r="H13" s="9" t="n">
        <x:v>23.2850945</x:v>
      </x:c>
      <x:c r="I13" s="9" t="n">
        <x:v>0.07684712500000046</x:v>
      </x:c>
      <x:c r="J13" s="8" t="n">
        <x:v>871677952</x:v>
      </x:c>
      <x:c r="K13" s="8" t="n">
        <x:v>134496256</x:v>
      </x:c>
      <x:c r="L13" s="10" t="n">
        <x:v>12</x:v>
      </x:c>
      <x:c r="M13" s="10" t="n">
        <x:v>12</x:v>
      </x:c>
      <x:c r="N13" s="9" t="n">
        <x:v>0.277815375000003</x:v>
      </x:c>
      <x:c r="O13" s="2" t="str">
        <x:v>85ab0755d0da801252862946a189ec8c31c4720437d5ecc76801caaf2d0a9455</x:v>
      </x:c>
      <x:c r="P13" s="2" t="str">
        <x:v>e6b806b3833b55647983afe8d694b5d817cf68d0d7d19a69c7a44ad29c3313c3</x:v>
      </x:c>
      <x:c r="Q13" s="2"/>
    </x:row>
    <x:row r="14" ht="24" customHeight="1">
      <x:c r="A14" s="2" t="str">
        <x:v>视频</x:v>
      </x:c>
      <x:c r="B14" s="2" t="str">
        <x:v>brotli-6</x:v>
      </x:c>
      <x:c r="C14" s="10" t="n">
        <x:v>1</x:v>
      </x:c>
      <x:c r="D14" s="10" t="str">
        <x:v>ok</x:v>
      </x:c>
      <x:c r="E14" s="8" t="n">
        <x:v>129412951</x:v>
      </x:c>
      <x:c r="F14" s="8" t="n">
        <x:v>129423360</x:v>
      </x:c>
      <x:c r="G14" s="8" t="n">
        <x:v>129377340</x:v>
      </x:c>
      <x:c r="H14" s="9" t="n">
        <x:v>0.34201983299999483</x:v>
      </x:c>
      <x:c r="I14" s="9" t="n">
        <x:v>0.07344258300000206</x:v>
      </x:c>
      <x:c r="J14" s="8" t="n">
        <x:v>58064896</x:v>
      </x:c>
      <x:c r="K14" s="8" t="n">
        <x:v>28868608</x:v>
      </x:c>
      <x:c r="L14" s="10" t="n">
        <x:v>12</x:v>
      </x:c>
      <x:c r="M14" s="10" t="n">
        <x:v>12</x:v>
      </x:c>
      <x:c r="N14" s="9" t="n">
        <x:v>0.2755826249999984</x:v>
      </x:c>
      <x:c r="O14" s="2" t="str">
        <x:v>23f2449bec86b6fc4c3c0642cc8286c00cbba91dc1a2e71722ba5f37cfe86b15</x:v>
      </x:c>
      <x:c r="P14" s="2" t="str">
        <x:v>e6b806b3833b55647983afe8d694b5d817cf68d0d7d19a69c7a44ad29c3313c3</x:v>
      </x:c>
      <x:c r="Q14" s="2"/>
    </x:row>
    <x:row r="15" ht="24" customHeight="1">
      <x:c r="A15" s="2" t="str">
        <x:v>视频</x:v>
      </x:c>
      <x:c r="B15" s="2" t="str">
        <x:v>brotli-11</x:v>
      </x:c>
      <x:c r="C15" s="10" t="n">
        <x:v>1</x:v>
      </x:c>
      <x:c r="D15" s="10" t="str">
        <x:v>ok</x:v>
      </x:c>
      <x:c r="E15" s="8" t="n">
        <x:v>129412951</x:v>
      </x:c>
      <x:c r="F15" s="8" t="n">
        <x:v>129423360</x:v>
      </x:c>
      <x:c r="G15" s="8" t="n">
        <x:v>129368518</x:v>
      </x:c>
      <x:c r="H15" s="9" t="n">
        <x:v>187.87872658400002</x:v>
      </x:c>
      <x:c r="I15" s="9" t="n">
        <x:v>0.1268162499999903</x:v>
      </x:c>
      <x:c r="J15" s="8" t="n">
        <x:v>181403648</x:v>
      </x:c>
      <x:c r="K15" s="8" t="n">
        <x:v>29392896</x:v>
      </x:c>
      <x:c r="L15" s="10" t="n">
        <x:v>12</x:v>
      </x:c>
      <x:c r="M15" s="10" t="n">
        <x:v>12</x:v>
      </x:c>
      <x:c r="N15" s="9" t="n">
        <x:v>0.3477404589999651</x:v>
      </x:c>
      <x:c r="O15" s="2" t="str">
        <x:v>7dc75c3fb96b0e10b4d57683706da5017832714f8a88b05d20668b8e20416241</x:v>
      </x:c>
      <x:c r="P15" s="2" t="str">
        <x:v>e6b806b3833b55647983afe8d694b5d817cf68d0d7d19a69c7a44ad29c3313c3</x:v>
      </x:c>
      <x:c r="Q15" s="2"/>
    </x:row>
    <x:row r="16" ht="24" customHeight="1">
      <x:c r="A16" s="2" t="str">
        <x:v>视频</x:v>
      </x:c>
      <x:c r="B16" s="2" t="str">
        <x:v>7z-lzma2-9</x:v>
      </x:c>
      <x:c r="C16" s="10" t="n">
        <x:v>1</x:v>
      </x:c>
      <x:c r="D16" s="10" t="str">
        <x:v>ok</x:v>
      </x:c>
      <x:c r="E16" s="8" t="n">
        <x:v>129412951</x:v>
      </x:c>
      <x:c r="F16" s="8" t="n">
        <x:v>129423360</x:v>
      </x:c>
      <x:c r="G16" s="8" t="n">
        <x:v>129280845</x:v>
      </x:c>
      <x:c r="H16" s="9" t="n">
        <x:v>39.672060166999984</x:v>
      </x:c>
      <x:c r="I16" s="9" t="n">
        <x:v>0.18191454200001544</x:v>
      </x:c>
      <x:c r="J16" s="8" t="n">
        <x:v>1301479424</x:v>
      </x:c>
      <x:c r="K16" s="8" t="n">
        <x:v>270761984</x:v>
      </x:c>
      <x:c r="L16" s="10" t="n">
        <x:v>12</x:v>
      </x:c>
      <x:c r="M16" s="10" t="n">
        <x:v>12</x:v>
      </x:c>
      <x:c r="N16" s="9" t="n">
        <x:v>0.38756262499998684</x:v>
      </x:c>
      <x:c r="O16" s="2" t="str">
        <x:v>bcc87db1fc5fc7a6a9e40b55ff2a1c3eaee0e4f5d0b2a54a744fc3292ec98fbe</x:v>
      </x:c>
      <x:c r="P16" s="2" t="str">
        <x:v>e6b806b3833b55647983afe8d694b5d817cf68d0d7d19a69c7a44ad29c3313c3</x:v>
      </x:c>
      <x:c r="Q16" s="2"/>
    </x:row>
    <x:row r="17" ht="24" customHeight="1">
      <x:c r="A17" s="2" t="str">
        <x:v>视频</x:v>
      </x:c>
      <x:c r="B17" s="2" t="str">
        <x:v>7z-ppmd-9</x:v>
      </x:c>
      <x:c r="C17" s="10" t="n">
        <x:v>1</x:v>
      </x:c>
      <x:c r="D17" s="10" t="str">
        <x:v>ok</x:v>
      </x:c>
      <x:c r="E17" s="8" t="n">
        <x:v>129412951</x:v>
      </x:c>
      <x:c r="F17" s="8" t="n">
        <x:v>129423360</x:v>
      </x:c>
      <x:c r="G17" s="8" t="n">
        <x:v>131841824</x:v>
      </x:c>
      <x:c r="H17" s="9" t="n">
        <x:v>108.70488008299998</x:v>
      </x:c>
      <x:c r="I17" s="9" t="n">
        <x:v>116.03706833300004</x:v>
      </x:c>
      <x:c r="J17" s="8" t="n">
        <x:v>273858560</x:v>
      </x:c>
      <x:c r="K17" s="8" t="n">
        <x:v>271810560</x:v>
      </x:c>
      <x:c r="L17" s="10" t="n">
        <x:v>12</x:v>
      </x:c>
      <x:c r="M17" s="10" t="n">
        <x:v>12</x:v>
      </x:c>
      <x:c r="N17" s="9" t="n">
        <x:v>116.25975900000003</x:v>
      </x:c>
      <x:c r="O17" s="2" t="str">
        <x:v>c02be5c257eec41372f9c59aa657be9a7e56e411230135fbb7e97b45e5b5ec82</x:v>
      </x:c>
      <x:c r="P17" s="2" t="str">
        <x:v>e6b806b3833b55647983afe8d694b5d817cf68d0d7d19a69c7a44ad29c3313c3</x:v>
      </x:c>
      <x:c r="Q17" s="2"/>
    </x:row>
    <x:row r="18" ht="24" customHeight="1">
      <x:c r="A18" s="2" t="str">
        <x:v>视频</x:v>
      </x:c>
      <x:c r="B18" s="2" t="str">
        <x:v>zpaq-5</x:v>
      </x:c>
      <x:c r="C18" s="10" t="n">
        <x:v>1</x:v>
      </x:c>
      <x:c r="D18" s="10" t="str">
        <x:v>timeout</x:v>
      </x:c>
      <x:c r="E18" s="8" t="n">
        <x:v>129412951</x:v>
      </x:c>
      <x:c r="F18" s="8" t="n">
        <x:v>129423360</x:v>
      </x:c>
      <x:c r="G18" s="8"/>
      <x:c r="H18" s="9" t="n">
        <x:v>300.013424083</x:v>
      </x:c>
      <x:c r="I18" s="9"/>
      <x:c r="J18" s="8"/>
      <x:c r="K18" s="8"/>
      <x:c r="L18" s="10" t="n">
        <x:v>0</x:v>
      </x:c>
      <x:c r="M18" s="10" t="n">
        <x:v>12</x:v>
      </x:c>
      <x:c r="N18" s="9"/>
      <x:c r="O18" s="2"/>
      <x:c r="P18" s="2" t="str">
        <x:v>e6b806b3833b55647983afe8d694b5d817cf68d0d7d19a69c7a44ad29c3313c3</x:v>
      </x:c>
      <x:c r="Q18" s="2"/>
    </x:row>
    <x:row r="19" ht="24" customHeight="1">
      <x:c r="A19" s="2" t="str">
        <x:v>视频</x:v>
      </x:c>
      <x:c r="B19" s="2" t="str">
        <x:v>gzip-9</x:v>
      </x:c>
      <x:c r="C19" s="10" t="n">
        <x:v>2</x:v>
      </x:c>
      <x:c r="D19" s="10" t="str">
        <x:v>ok</x:v>
      </x:c>
      <x:c r="E19" s="8" t="n">
        <x:v>129412951</x:v>
      </x:c>
      <x:c r="F19" s="8" t="n">
        <x:v>129423360</x:v>
      </x:c>
      <x:c r="G19" s="8" t="n">
        <x:v>129327935</x:v>
      </x:c>
      <x:c r="H19" s="9" t="n">
        <x:v>2.3876927920000526</x:v>
      </x:c>
      <x:c r="I19" s="9" t="n">
        <x:v>0.07507129199984774</x:v>
      </x:c>
      <x:c r="J19" s="8" t="n">
        <x:v>1507328</x:v>
      </x:c>
      <x:c r="K19" s="8" t="n">
        <x:v>1261568</x:v>
      </x:c>
      <x:c r="L19" s="10" t="n">
        <x:v>12</x:v>
      </x:c>
      <x:c r="M19" s="10" t="n">
        <x:v>12</x:v>
      </x:c>
      <x:c r="N19" s="9" t="n">
        <x:v>0.27848562500003027</x:v>
      </x:c>
      <x:c r="O19" s="2" t="str">
        <x:v>04d9d520c623ab13a3f31e8f7a64d96256d800cbfc6043823fdd7f4007d5faac</x:v>
      </x:c>
      <x:c r="P19" s="2" t="str">
        <x:v>e6b806b3833b55647983afe8d694b5d817cf68d0d7d19a69c7a44ad29c3313c3</x:v>
      </x:c>
      <x:c r="Q19" s="2"/>
    </x:row>
    <x:row r="20" ht="24" customHeight="1">
      <x:c r="A20" s="2" t="str">
        <x:v>视频</x:v>
      </x:c>
      <x:c r="B20" s="2" t="str">
        <x:v>bzip2-9</x:v>
      </x:c>
      <x:c r="C20" s="10" t="n">
        <x:v>2</x:v>
      </x:c>
      <x:c r="D20" s="10" t="str">
        <x:v>ok</x:v>
      </x:c>
      <x:c r="E20" s="8" t="n">
        <x:v>129412951</x:v>
      </x:c>
      <x:c r="F20" s="8" t="n">
        <x:v>129423360</x:v>
      </x:c>
      <x:c r="G20" s="8" t="n">
        <x:v>129895419</x:v>
      </x:c>
      <x:c r="H20" s="9" t="n">
        <x:v>10.946362832999966</x:v>
      </x:c>
      <x:c r="I20" s="9" t="n">
        <x:v>5.92963887499991</x:v>
      </x:c>
      <x:c r="J20" s="8" t="n">
        <x:v>7815168</x:v>
      </x:c>
      <x:c r="K20" s="8" t="n">
        <x:v>4800512</x:v>
      </x:c>
      <x:c r="L20" s="10" t="n">
        <x:v>12</x:v>
      </x:c>
      <x:c r="M20" s="10" t="n">
        <x:v>12</x:v>
      </x:c>
      <x:c r="N20" s="9" t="n">
        <x:v>6.140535124999587</x:v>
      </x:c>
      <x:c r="O20" s="2" t="str">
        <x:v>dfbf55fff0c1ca661001a6d4c121c80469c15a31b0401e0b38b9af28bc5697af</x:v>
      </x:c>
      <x:c r="P20" s="2" t="str">
        <x:v>e6b806b3833b55647983afe8d694b5d817cf68d0d7d19a69c7a44ad29c3313c3</x:v>
      </x:c>
      <x:c r="Q20" s="2"/>
    </x:row>
    <x:row r="21" ht="24" customHeight="1">
      <x:c r="A21" s="2" t="str">
        <x:v>视频</x:v>
      </x:c>
      <x:c r="B21" s="2" t="str">
        <x:v>xz-9e</x:v>
      </x:c>
      <x:c r="C21" s="10" t="n">
        <x:v>2</x:v>
      </x:c>
      <x:c r="D21" s="10" t="str">
        <x:v>ok</x:v>
      </x:c>
      <x:c r="E21" s="8" t="n">
        <x:v>129412951</x:v>
      </x:c>
      <x:c r="F21" s="8" t="n">
        <x:v>129423360</x:v>
      </x:c>
      <x:c r="G21" s="8" t="n">
        <x:v>129284764</x:v>
      </x:c>
      <x:c r="H21" s="9" t="n">
        <x:v>61.13857120800003</x:v>
      </x:c>
      <x:c r="I21" s="9" t="n">
        <x:v>0.397031208000044</x:v>
      </x:c>
      <x:c r="J21" s="8" t="n">
        <x:v>706641920</x:v>
      </x:c>
      <x:c r="K21" s="8" t="n">
        <x:v>69173248</x:v>
      </x:c>
      <x:c r="L21" s="10" t="n">
        <x:v>12</x:v>
      </x:c>
      <x:c r="M21" s="10" t="n">
        <x:v>12</x:v>
      </x:c>
      <x:c r="N21" s="9" t="n">
        <x:v>0.6061759590002112</x:v>
      </x:c>
      <x:c r="O21" s="2" t="str">
        <x:v>d773bbf26d1107ba608d3cc9b78457ae2cd38e5eca2b9b24f822341d16802db0</x:v>
      </x:c>
      <x:c r="P21" s="2" t="str">
        <x:v>e6b806b3833b55647983afe8d694b5d817cf68d0d7d19a69c7a44ad29c3313c3</x:v>
      </x:c>
      <x:c r="Q21" s="2"/>
    </x:row>
    <x:row r="22" ht="24" customHeight="1">
      <x:c r="A22" s="2" t="str">
        <x:v>视频</x:v>
      </x:c>
      <x:c r="B22" s="2" t="str">
        <x:v>zstd-3</x:v>
      </x:c>
      <x:c r="C22" s="10" t="n">
        <x:v>2</x:v>
      </x:c>
      <x:c r="D22" s="10" t="str">
        <x:v>ok</x:v>
      </x:c>
      <x:c r="E22" s="8" t="n">
        <x:v>129412951</x:v>
      </x:c>
      <x:c r="F22" s="8" t="n">
        <x:v>129423360</x:v>
      </x:c>
      <x:c r="G22" s="8" t="n">
        <x:v>129344723</x:v>
      </x:c>
      <x:c r="H22" s="9" t="n">
        <x:v>0.13133862499989846</x:v>
      </x:c>
      <x:c r="I22" s="9" t="n">
        <x:v>0.07423545900019235</x:v>
      </x:c>
      <x:c r="J22" s="8" t="n">
        <x:v>8175616</x:v>
      </x:c>
      <x:c r="K22" s="8" t="n">
        <x:v>7438336</x:v>
      </x:c>
      <x:c r="L22" s="10" t="n">
        <x:v>12</x:v>
      </x:c>
      <x:c r="M22" s="10" t="n">
        <x:v>12</x:v>
      </x:c>
      <x:c r="N22" s="9" t="n">
        <x:v>0.2830173749998721</x:v>
      </x:c>
      <x:c r="O22" s="2" t="str">
        <x:v>ff20fc1045745e7071c98de8e8481ffa44302051a0b56b15798e90dac947a2a1</x:v>
      </x:c>
      <x:c r="P22" s="2" t="str">
        <x:v>e6b806b3833b55647983afe8d694b5d817cf68d0d7d19a69c7a44ad29c3313c3</x:v>
      </x:c>
      <x:c r="Q22" s="2"/>
    </x:row>
    <x:row r="23" ht="24" customHeight="1">
      <x:c r="A23" s="2" t="str">
        <x:v>视频</x:v>
      </x:c>
      <x:c r="B23" s="2" t="str">
        <x:v>zstd-19</x:v>
      </x:c>
      <x:c r="C23" s="10" t="n">
        <x:v>2</x:v>
      </x:c>
      <x:c r="D23" s="10" t="str">
        <x:v>ok</x:v>
      </x:c>
      <x:c r="E23" s="8" t="n">
        <x:v>129412951</x:v>
      </x:c>
      <x:c r="F23" s="8" t="n">
        <x:v>129423360</x:v>
      </x:c>
      <x:c r="G23" s="8" t="n">
        <x:v>129266841</x:v>
      </x:c>
      <x:c r="H23" s="9" t="n">
        <x:v>31.71192929200015</x:v>
      </x:c>
      <x:c r="I23" s="9" t="n">
        <x:v>0.0768333750002057</x:v>
      </x:c>
      <x:c r="J23" s="8" t="n">
        <x:v>96976896</x:v>
      </x:c>
      <x:c r="K23" s="8" t="n">
        <x:v>13713408</x:v>
      </x:c>
      <x:c r="L23" s="10" t="n">
        <x:v>12</x:v>
      </x:c>
      <x:c r="M23" s="10" t="n">
        <x:v>12</x:v>
      </x:c>
      <x:c r="N23" s="9" t="n">
        <x:v>0.32274904099995183</x:v>
      </x:c>
      <x:c r="O23" s="2" t="str">
        <x:v>375d7689e953eacb338d0ce54c815a71bbc9f6999b3f5e9f0445dd631d71b439</x:v>
      </x:c>
      <x:c r="P23" s="2" t="str">
        <x:v>e6b806b3833b55647983afe8d694b5d817cf68d0d7d19a69c7a44ad29c3313c3</x:v>
      </x:c>
      <x:c r="Q23" s="2"/>
    </x:row>
    <x:row r="24" ht="24" customHeight="1">
      <x:c r="A24" s="2" t="str">
        <x:v>视频</x:v>
      </x:c>
      <x:c r="B24" s="2" t="str">
        <x:v>zstd-22</x:v>
      </x:c>
      <x:c r="C24" s="10" t="n">
        <x:v>2</x:v>
      </x:c>
      <x:c r="D24" s="10" t="str">
        <x:v>ok</x:v>
      </x:c>
      <x:c r="E24" s="8" t="n">
        <x:v>129412951</x:v>
      </x:c>
      <x:c r="F24" s="8" t="n">
        <x:v>129423360</x:v>
      </x:c>
      <x:c r="G24" s="8" t="n">
        <x:v>129261860</x:v>
      </x:c>
      <x:c r="H24" s="9" t="n">
        <x:v>25.34504720799987</x:v>
      </x:c>
      <x:c r="I24" s="9" t="n">
        <x:v>0.07753583299972888</x:v>
      </x:c>
      <x:c r="J24" s="8" t="n">
        <x:v>871448576</x:v>
      </x:c>
      <x:c r="K24" s="8" t="n">
        <x:v>134496256</x:v>
      </x:c>
      <x:c r="L24" s="10" t="n">
        <x:v>12</x:v>
      </x:c>
      <x:c r="M24" s="10" t="n">
        <x:v>12</x:v>
      </x:c>
      <x:c r="N24" s="9" t="n">
        <x:v>0.281018665999909</x:v>
      </x:c>
      <x:c r="O24" s="2" t="str">
        <x:v>85ab0755d0da801252862946a189ec8c31c4720437d5ecc76801caaf2d0a9455</x:v>
      </x:c>
      <x:c r="P24" s="2" t="str">
        <x:v>e6b806b3833b55647983afe8d694b5d817cf68d0d7d19a69c7a44ad29c3313c3</x:v>
      </x:c>
      <x:c r="Q24" s="2"/>
    </x:row>
    <x:row r="25" ht="24" customHeight="1">
      <x:c r="A25" s="2" t="str">
        <x:v>视频</x:v>
      </x:c>
      <x:c r="B25" s="2" t="str">
        <x:v>brotli-6</x:v>
      </x:c>
      <x:c r="C25" s="10" t="n">
        <x:v>2</x:v>
      </x:c>
      <x:c r="D25" s="10" t="str">
        <x:v>ok</x:v>
      </x:c>
      <x:c r="E25" s="8" t="n">
        <x:v>129412951</x:v>
      </x:c>
      <x:c r="F25" s="8" t="n">
        <x:v>129423360</x:v>
      </x:c>
      <x:c r="G25" s="8" t="n">
        <x:v>129377340</x:v>
      </x:c>
      <x:c r="H25" s="9" t="n">
        <x:v>0.3513011249997362</x:v>
      </x:c>
      <x:c r="I25" s="9" t="n">
        <x:v>0.12193612500004747</x:v>
      </x:c>
      <x:c r="J25" s="8" t="n">
        <x:v>58064896</x:v>
      </x:c>
      <x:c r="K25" s="8" t="n">
        <x:v>28868608</x:v>
      </x:c>
      <x:c r="L25" s="10" t="n">
        <x:v>12</x:v>
      </x:c>
      <x:c r="M25" s="10" t="n">
        <x:v>12</x:v>
      </x:c>
      <x:c r="N25" s="9" t="n">
        <x:v>0.31789583399995536</x:v>
      </x:c>
      <x:c r="O25" s="2" t="str">
        <x:v>23f2449bec86b6fc4c3c0642cc8286c00cbba91dc1a2e71722ba5f37cfe86b15</x:v>
      </x:c>
      <x:c r="P25" s="2" t="str">
        <x:v>e6b806b3833b55647983afe8d694b5d817cf68d0d7d19a69c7a44ad29c3313c3</x:v>
      </x:c>
      <x:c r="Q25" s="2"/>
    </x:row>
    <x:row r="26" ht="24" customHeight="1">
      <x:c r="A26" s="2" t="str">
        <x:v>视频</x:v>
      </x:c>
      <x:c r="B26" s="2" t="str">
        <x:v>brotli-11</x:v>
      </x:c>
      <x:c r="C26" s="10" t="n">
        <x:v>2</x:v>
      </x:c>
      <x:c r="D26" s="10" t="str">
        <x:v>ok</x:v>
      </x:c>
      <x:c r="E26" s="8" t="n">
        <x:v>129412951</x:v>
      </x:c>
      <x:c r="F26" s="8" t="n">
        <x:v>129423360</x:v>
      </x:c>
      <x:c r="G26" s="8" t="n">
        <x:v>129368518</x:v>
      </x:c>
      <x:c r="H26" s="9" t="n">
        <x:v>192.29745958299964</x:v>
      </x:c>
      <x:c r="I26" s="9" t="n">
        <x:v>0.1301880840001104</x:v>
      </x:c>
      <x:c r="J26" s="8" t="n">
        <x:v>180551680</x:v>
      </x:c>
      <x:c r="K26" s="8" t="n">
        <x:v>29392896</x:v>
      </x:c>
      <x:c r="L26" s="10" t="n">
        <x:v>12</x:v>
      </x:c>
      <x:c r="M26" s="10" t="n">
        <x:v>12</x:v>
      </x:c>
      <x:c r="N26" s="9" t="n">
        <x:v>0.3481733749999876</x:v>
      </x:c>
      <x:c r="O26" s="2" t="str">
        <x:v>7dc75c3fb96b0e10b4d57683706da5017832714f8a88b05d20668b8e20416241</x:v>
      </x:c>
      <x:c r="P26" s="2" t="str">
        <x:v>e6b806b3833b55647983afe8d694b5d817cf68d0d7d19a69c7a44ad29c3313c3</x:v>
      </x:c>
      <x:c r="Q26" s="2"/>
    </x:row>
    <x:row r="27" ht="24" customHeight="1">
      <x:c r="A27" s="2" t="str">
        <x:v>视频</x:v>
      </x:c>
      <x:c r="B27" s="2" t="str">
        <x:v>7z-lzma2-9</x:v>
      </x:c>
      <x:c r="C27" s="10" t="n">
        <x:v>2</x:v>
      </x:c>
      <x:c r="D27" s="10" t="str">
        <x:v>ok</x:v>
      </x:c>
      <x:c r="E27" s="8" t="n">
        <x:v>129412951</x:v>
      </x:c>
      <x:c r="F27" s="8" t="n">
        <x:v>129423360</x:v>
      </x:c>
      <x:c r="G27" s="8" t="n">
        <x:v>129280845</x:v>
      </x:c>
      <x:c r="H27" s="9" t="n">
        <x:v>42.494856083000286</x:v>
      </x:c>
      <x:c r="I27" s="9" t="n">
        <x:v>0.1886067909999838</x:v>
      </x:c>
      <x:c r="J27" s="8" t="n">
        <x:v>1301413888</x:v>
      </x:c>
      <x:c r="K27" s="8" t="n">
        <x:v>270712832</x:v>
      </x:c>
      <x:c r="L27" s="10" t="n">
        <x:v>12</x:v>
      </x:c>
      <x:c r="M27" s="10" t="n">
        <x:v>12</x:v>
      </x:c>
      <x:c r="N27" s="9" t="n">
        <x:v>0.3968756670001312</x:v>
      </x:c>
      <x:c r="O27" s="2" t="str">
        <x:v>bcc87db1fc5fc7a6a9e40b55ff2a1c3eaee0e4f5d0b2a54a744fc3292ec98fbe</x:v>
      </x:c>
      <x:c r="P27" s="2" t="str">
        <x:v>e6b806b3833b55647983afe8d694b5d817cf68d0d7d19a69c7a44ad29c3313c3</x:v>
      </x:c>
      <x:c r="Q27" s="2"/>
    </x:row>
    <x:row r="28" ht="24" customHeight="1">
      <x:c r="A28" s="2" t="str">
        <x:v>视频</x:v>
      </x:c>
      <x:c r="B28" s="2" t="str">
        <x:v>7z-ppmd-9</x:v>
      </x:c>
      <x:c r="C28" s="10" t="n">
        <x:v>2</x:v>
      </x:c>
      <x:c r="D28" s="10" t="str">
        <x:v>ok</x:v>
      </x:c>
      <x:c r="E28" s="8" t="n">
        <x:v>129412951</x:v>
      </x:c>
      <x:c r="F28" s="8" t="n">
        <x:v>129423360</x:v>
      </x:c>
      <x:c r="G28" s="8" t="n">
        <x:v>131841824</x:v>
      </x:c>
      <x:c r="H28" s="9" t="n">
        <x:v>109.53497337499994</x:v>
      </x:c>
      <x:c r="I28" s="9" t="n">
        <x:v>119.47704120799972</x:v>
      </x:c>
      <x:c r="J28" s="8" t="n">
        <x:v>273825792</x:v>
      </x:c>
      <x:c r="K28" s="8" t="n">
        <x:v>271810560</x:v>
      </x:c>
      <x:c r="L28" s="10" t="n">
        <x:v>12</x:v>
      </x:c>
      <x:c r="M28" s="10" t="n">
        <x:v>12</x:v>
      </x:c>
      <x:c r="N28" s="9" t="n">
        <x:v>119.6976389170004</x:v>
      </x:c>
      <x:c r="O28" s="2" t="str">
        <x:v>c02be5c257eec41372f9c59aa657be9a7e56e411230135fbb7e97b45e5b5ec82</x:v>
      </x:c>
      <x:c r="P28" s="2" t="str">
        <x:v>e6b806b3833b55647983afe8d694b5d817cf68d0d7d19a69c7a44ad29c3313c3</x:v>
      </x:c>
      <x:c r="Q28" s="2"/>
    </x:row>
    <x:row r="29" ht="24" customHeight="1">
      <x:c r="A29" s="2" t="str">
        <x:v>视频</x:v>
      </x:c>
      <x:c r="B29" s="2" t="str">
        <x:v>store</x:v>
      </x:c>
      <x:c r="C29" s="10" t="n">
        <x:v>2</x:v>
      </x:c>
      <x:c r="D29" s="10" t="str">
        <x:v>ok</x:v>
      </x:c>
      <x:c r="E29" s="8" t="n">
        <x:v>129412951</x:v>
      </x:c>
      <x:c r="F29" s="8" t="n">
        <x:v>129423360</x:v>
      </x:c>
      <x:c r="G29" s="8" t="n">
        <x:v>129423360</x:v>
      </x:c>
      <x:c r="H29" s="9" t="n">
        <x:v>0.07846270900017771</x:v>
      </x:c>
      <x:c r="I29" s="9" t="n">
        <x:v>0.07664387499971781</x:v>
      </x:c>
      <x:c r="J29" s="8" t="n">
        <x:v>2113536</x:v>
      </x:c>
      <x:c r="K29" s="8" t="n">
        <x:v>2113536</x:v>
      </x:c>
      <x:c r="L29" s="10" t="n">
        <x:v>12</x:v>
      </x:c>
      <x:c r="M29" s="10" t="n">
        <x:v>12</x:v>
      </x:c>
      <x:c r="N29" s="9" t="n">
        <x:v>0.28151112500017916</x:v>
      </x:c>
      <x:c r="O29" s="2" t="str">
        <x:v>e6b806b3833b55647983afe8d694b5d817cf68d0d7d19a69c7a44ad29c3313c3</x:v>
      </x:c>
      <x:c r="P29" s="2" t="str">
        <x:v>e6b806b3833b55647983afe8d694b5d817cf68d0d7d19a69c7a44ad29c3313c3</x:v>
      </x:c>
      <x:c r="Q29" s="2"/>
    </x:row>
    <x:row r="30" ht="24" customHeight="1">
      <x:c r="A30" s="2" t="str">
        <x:v>视频</x:v>
      </x:c>
      <x:c r="B30" s="2" t="str">
        <x:v>bzip2-9</x:v>
      </x:c>
      <x:c r="C30" s="10" t="n">
        <x:v>3</x:v>
      </x:c>
      <x:c r="D30" s="10" t="str">
        <x:v>ok</x:v>
      </x:c>
      <x:c r="E30" s="8" t="n">
        <x:v>129412951</x:v>
      </x:c>
      <x:c r="F30" s="8" t="n">
        <x:v>129423360</x:v>
      </x:c>
      <x:c r="G30" s="8" t="n">
        <x:v>129895419</x:v>
      </x:c>
      <x:c r="H30" s="9" t="n">
        <x:v>10.694373083000755</x:v>
      </x:c>
      <x:c r="I30" s="9" t="n">
        <x:v>5.0679117500003485</x:v>
      </x:c>
      <x:c r="J30" s="8" t="n">
        <x:v>7815168</x:v>
      </x:c>
      <x:c r="K30" s="8" t="n">
        <x:v>4800512</x:v>
      </x:c>
      <x:c r="L30" s="10" t="n">
        <x:v>12</x:v>
      </x:c>
      <x:c r="M30" s="10" t="n">
        <x:v>12</x:v>
      </x:c>
      <x:c r="N30" s="9" t="n">
        <x:v>5.260860250000405</x:v>
      </x:c>
      <x:c r="O30" s="2" t="str">
        <x:v>dfbf55fff0c1ca661001a6d4c121c80469c15a31b0401e0b38b9af28bc5697af</x:v>
      </x:c>
      <x:c r="P30" s="2" t="str">
        <x:v>e6b806b3833b55647983afe8d694b5d817cf68d0d7d19a69c7a44ad29c3313c3</x:v>
      </x:c>
      <x:c r="Q30" s="2"/>
    </x:row>
    <x:row r="31" ht="24" customHeight="1">
      <x:c r="A31" s="2" t="str">
        <x:v>视频</x:v>
      </x:c>
      <x:c r="B31" s="2" t="str">
        <x:v>xz-9e</x:v>
      </x:c>
      <x:c r="C31" s="10" t="n">
        <x:v>3</x:v>
      </x:c>
      <x:c r="D31" s="10" t="str">
        <x:v>ok</x:v>
      </x:c>
      <x:c r="E31" s="8" t="n">
        <x:v>129412951</x:v>
      </x:c>
      <x:c r="F31" s="8" t="n">
        <x:v>129423360</x:v>
      </x:c>
      <x:c r="G31" s="8" t="n">
        <x:v>129284764</x:v>
      </x:c>
      <x:c r="H31" s="9" t="n">
        <x:v>52.70308854199993</x:v>
      </x:c>
      <x:c r="I31" s="9" t="n">
        <x:v>0.34785795800053165</x:v>
      </x:c>
      <x:c r="J31" s="8" t="n">
        <x:v>706904064</x:v>
      </x:c>
      <x:c r="K31" s="8" t="n">
        <x:v>69156864</x:v>
      </x:c>
      <x:c r="L31" s="10" t="n">
        <x:v>12</x:v>
      </x:c>
      <x:c r="M31" s="10" t="n">
        <x:v>12</x:v>
      </x:c>
      <x:c r="N31" s="9" t="n">
        <x:v>0.5407867080002688</x:v>
      </x:c>
      <x:c r="O31" s="2" t="str">
        <x:v>d773bbf26d1107ba608d3cc9b78457ae2cd38e5eca2b9b24f822341d16802db0</x:v>
      </x:c>
      <x:c r="P31" s="2" t="str">
        <x:v>e6b806b3833b55647983afe8d694b5d817cf68d0d7d19a69c7a44ad29c3313c3</x:v>
      </x:c>
      <x:c r="Q31" s="2"/>
    </x:row>
    <x:row r="32" ht="24" customHeight="1">
      <x:c r="A32" s="2" t="str">
        <x:v>视频</x:v>
      </x:c>
      <x:c r="B32" s="2" t="str">
        <x:v>zstd-3</x:v>
      </x:c>
      <x:c r="C32" s="10" t="n">
        <x:v>3</x:v>
      </x:c>
      <x:c r="D32" s="10" t="str">
        <x:v>ok</x:v>
      </x:c>
      <x:c r="E32" s="8" t="n">
        <x:v>129412951</x:v>
      </x:c>
      <x:c r="F32" s="8" t="n">
        <x:v>129423360</x:v>
      </x:c>
      <x:c r="G32" s="8" t="n">
        <x:v>129344723</x:v>
      </x:c>
      <x:c r="H32" s="9" t="n">
        <x:v>0.07564191699930234</x:v>
      </x:c>
      <x:c r="I32" s="9" t="n">
        <x:v>0.06955391700012115</x:v>
      </x:c>
      <x:c r="J32" s="8" t="n">
        <x:v>8175616</x:v>
      </x:c>
      <x:c r="K32" s="8" t="n">
        <x:v>7438336</x:v>
      </x:c>
      <x:c r="L32" s="10" t="n">
        <x:v>12</x:v>
      </x:c>
      <x:c r="M32" s="10" t="n">
        <x:v>12</x:v>
      </x:c>
      <x:c r="N32" s="9" t="n">
        <x:v>0.26137104099962016</x:v>
      </x:c>
      <x:c r="O32" s="2" t="str">
        <x:v>ff20fc1045745e7071c98de8e8481ffa44302051a0b56b15798e90dac947a2a1</x:v>
      </x:c>
      <x:c r="P32" s="2" t="str">
        <x:v>e6b806b3833b55647983afe8d694b5d817cf68d0d7d19a69c7a44ad29c3313c3</x:v>
      </x:c>
      <x:c r="Q32" s="2"/>
    </x:row>
    <x:row r="33" ht="24" customHeight="1">
      <x:c r="A33" s="2" t="str">
        <x:v>视频</x:v>
      </x:c>
      <x:c r="B33" s="2" t="str">
        <x:v>zstd-19</x:v>
      </x:c>
      <x:c r="C33" s="10" t="n">
        <x:v>3</x:v>
      </x:c>
      <x:c r="D33" s="10" t="str">
        <x:v>ok</x:v>
      </x:c>
      <x:c r="E33" s="8" t="n">
        <x:v>129412951</x:v>
      </x:c>
      <x:c r="F33" s="8" t="n">
        <x:v>129423360</x:v>
      </x:c>
      <x:c r="G33" s="8" t="n">
        <x:v>129266841</x:v>
      </x:c>
      <x:c r="H33" s="9" t="n">
        <x:v>19.18374166600006</x:v>
      </x:c>
      <x:c r="I33" s="9" t="n">
        <x:v>0.07449095799984207</x:v>
      </x:c>
      <x:c r="J33" s="8" t="n">
        <x:v>97058816</x:v>
      </x:c>
      <x:c r="K33" s="8" t="n">
        <x:v>13713408</x:v>
      </x:c>
      <x:c r="L33" s="10" t="n">
        <x:v>12</x:v>
      </x:c>
      <x:c r="M33" s="10" t="n">
        <x:v>12</x:v>
      </x:c>
      <x:c r="N33" s="9" t="n">
        <x:v>0.2671173340004316</x:v>
      </x:c>
      <x:c r="O33" s="2" t="str">
        <x:v>375d7689e953eacb338d0ce54c815a71bbc9f6999b3f5e9f0445dd631d71b439</x:v>
      </x:c>
      <x:c r="P33" s="2" t="str">
        <x:v>e6b806b3833b55647983afe8d694b5d817cf68d0d7d19a69c7a44ad29c3313c3</x:v>
      </x:c>
      <x:c r="Q33" s="2"/>
    </x:row>
    <x:row r="34" ht="24" customHeight="1">
      <x:c r="A34" s="2" t="str">
        <x:v>视频</x:v>
      </x:c>
      <x:c r="B34" s="2" t="str">
        <x:v>zstd-22</x:v>
      </x:c>
      <x:c r="C34" s="10" t="n">
        <x:v>3</x:v>
      </x:c>
      <x:c r="D34" s="10" t="str">
        <x:v>ok</x:v>
      </x:c>
      <x:c r="E34" s="8" t="n">
        <x:v>129412951</x:v>
      </x:c>
      <x:c r="F34" s="8" t="n">
        <x:v>129423360</x:v>
      </x:c>
      <x:c r="G34" s="8" t="n">
        <x:v>129261860</x:v>
      </x:c>
      <x:c r="H34" s="9" t="n">
        <x:v>22.454938832999687</x:v>
      </x:c>
      <x:c r="I34" s="9" t="n">
        <x:v>0.07618629199987481</x:v>
      </x:c>
      <x:c r="J34" s="8" t="n">
        <x:v>871809024</x:v>
      </x:c>
      <x:c r="K34" s="8" t="n">
        <x:v>134496256</x:v>
      </x:c>
      <x:c r="L34" s="10" t="n">
        <x:v>12</x:v>
      </x:c>
      <x:c r="M34" s="10" t="n">
        <x:v>12</x:v>
      </x:c>
      <x:c r="N34" s="9" t="n">
        <x:v>0.2721587919995727</x:v>
      </x:c>
      <x:c r="O34" s="2" t="str">
        <x:v>85ab0755d0da801252862946a189ec8c31c4720437d5ecc76801caaf2d0a9455</x:v>
      </x:c>
      <x:c r="P34" s="2" t="str">
        <x:v>e6b806b3833b55647983afe8d694b5d817cf68d0d7d19a69c7a44ad29c3313c3</x:v>
      </x:c>
      <x:c r="Q34" s="2"/>
    </x:row>
    <x:row r="35" ht="24" customHeight="1">
      <x:c r="A35" s="2" t="str">
        <x:v>视频</x:v>
      </x:c>
      <x:c r="B35" s="2" t="str">
        <x:v>brotli-6</x:v>
      </x:c>
      <x:c r="C35" s="10" t="n">
        <x:v>3</x:v>
      </x:c>
      <x:c r="D35" s="10" t="str">
        <x:v>ok</x:v>
      </x:c>
      <x:c r="E35" s="8" t="n">
        <x:v>129412951</x:v>
      </x:c>
      <x:c r="F35" s="8" t="n">
        <x:v>129423360</x:v>
      </x:c>
      <x:c r="G35" s="8" t="n">
        <x:v>129377340</x:v>
      </x:c>
      <x:c r="H35" s="9" t="n">
        <x:v>0.286907790999976</x:v>
      </x:c>
      <x:c r="I35" s="9" t="n">
        <x:v>0.0713177910001832</x:v>
      </x:c>
      <x:c r="J35" s="8" t="n">
        <x:v>58081280</x:v>
      </x:c>
      <x:c r="K35" s="8" t="n">
        <x:v>28868608</x:v>
      </x:c>
      <x:c r="L35" s="10" t="n">
        <x:v>12</x:v>
      </x:c>
      <x:c r="M35" s="10" t="n">
        <x:v>12</x:v>
      </x:c>
      <x:c r="N35" s="9" t="n">
        <x:v>0.2638019579999309</x:v>
      </x:c>
      <x:c r="O35" s="2" t="str">
        <x:v>23f2449bec86b6fc4c3c0642cc8286c00cbba91dc1a2e71722ba5f37cfe86b15</x:v>
      </x:c>
      <x:c r="P35" s="2" t="str">
        <x:v>e6b806b3833b55647983afe8d694b5d817cf68d0d7d19a69c7a44ad29c3313c3</x:v>
      </x:c>
      <x:c r="Q35" s="2"/>
    </x:row>
    <x:row r="36" ht="24" customHeight="1">
      <x:c r="A36" s="2" t="str">
        <x:v>视频</x:v>
      </x:c>
      <x:c r="B36" s="2" t="str">
        <x:v>brotli-11</x:v>
      </x:c>
      <x:c r="C36" s="10" t="n">
        <x:v>3</x:v>
      </x:c>
      <x:c r="D36" s="10" t="str">
        <x:v>ok</x:v>
      </x:c>
      <x:c r="E36" s="8" t="n">
        <x:v>129412951</x:v>
      </x:c>
      <x:c r="F36" s="8" t="n">
        <x:v>129423360</x:v>
      </x:c>
      <x:c r="G36" s="8" t="n">
        <x:v>129368518</x:v>
      </x:c>
      <x:c r="H36" s="9" t="n">
        <x:v>175.50015591600004</x:v>
      </x:c>
      <x:c r="I36" s="9" t="n">
        <x:v>0.1436427909993654</x:v>
      </x:c>
      <x:c r="J36" s="8" t="n">
        <x:v>181633024</x:v>
      </x:c>
      <x:c r="K36" s="8" t="n">
        <x:v>29392896</x:v>
      </x:c>
      <x:c r="L36" s="10" t="n">
        <x:v>12</x:v>
      </x:c>
      <x:c r="M36" s="10" t="n">
        <x:v>12</x:v>
      </x:c>
      <x:c r="N36" s="9" t="n">
        <x:v>0.33796349999920494</x:v>
      </x:c>
      <x:c r="O36" s="2" t="str">
        <x:v>7dc75c3fb96b0e10b4d57683706da5017832714f8a88b05d20668b8e20416241</x:v>
      </x:c>
      <x:c r="P36" s="2" t="str">
        <x:v>e6b806b3833b55647983afe8d694b5d817cf68d0d7d19a69c7a44ad29c3313c3</x:v>
      </x:c>
      <x:c r="Q36" s="2"/>
    </x:row>
    <x:row r="37" ht="24" customHeight="1">
      <x:c r="A37" s="2" t="str">
        <x:v>视频</x:v>
      </x:c>
      <x:c r="B37" s="2" t="str">
        <x:v>7z-lzma2-9</x:v>
      </x:c>
      <x:c r="C37" s="10" t="n">
        <x:v>3</x:v>
      </x:c>
      <x:c r="D37" s="10" t="str">
        <x:v>ok</x:v>
      </x:c>
      <x:c r="E37" s="8" t="n">
        <x:v>129412951</x:v>
      </x:c>
      <x:c r="F37" s="8" t="n">
        <x:v>129423360</x:v>
      </x:c>
      <x:c r="G37" s="8" t="n">
        <x:v>129280845</x:v>
      </x:c>
      <x:c r="H37" s="9" t="n">
        <x:v>36.59327341700009</x:v>
      </x:c>
      <x:c r="I37" s="9" t="n">
        <x:v>0.13989370799936296</x:v>
      </x:c>
      <x:c r="J37" s="8" t="n">
        <x:v>1302200320</x:v>
      </x:c>
      <x:c r="K37" s="8" t="n">
        <x:v>270745600</x:v>
      </x:c>
      <x:c r="L37" s="10" t="n">
        <x:v>12</x:v>
      </x:c>
      <x:c r="M37" s="10" t="n">
        <x:v>12</x:v>
      </x:c>
      <x:c r="N37" s="9" t="n">
        <x:v>0.3316407080001227</x:v>
      </x:c>
      <x:c r="O37" s="2" t="str">
        <x:v>bcc87db1fc5fc7a6a9e40b55ff2a1c3eaee0e4f5d0b2a54a744fc3292ec98fbe</x:v>
      </x:c>
      <x:c r="P37" s="2" t="str">
        <x:v>e6b806b3833b55647983afe8d694b5d817cf68d0d7d19a69c7a44ad29c3313c3</x:v>
      </x:c>
      <x:c r="Q37" s="2"/>
    </x:row>
    <x:row r="38" ht="24" customHeight="1">
      <x:c r="A38" s="2" t="str">
        <x:v>视频</x:v>
      </x:c>
      <x:c r="B38" s="2" t="str">
        <x:v>7z-ppmd-9</x:v>
      </x:c>
      <x:c r="C38" s="10" t="n">
        <x:v>3</x:v>
      </x:c>
      <x:c r="D38" s="10" t="str">
        <x:v>ok</x:v>
      </x:c>
      <x:c r="E38" s="8" t="n">
        <x:v>129412951</x:v>
      </x:c>
      <x:c r="F38" s="8" t="n">
        <x:v>129423360</x:v>
      </x:c>
      <x:c r="G38" s="8" t="n">
        <x:v>131841824</x:v>
      </x:c>
      <x:c r="H38" s="9" t="n">
        <x:v>103.23513312500017</x:v>
      </x:c>
      <x:c r="I38" s="9" t="n">
        <x:v>106.73507879200042</x:v>
      </x:c>
      <x:c r="J38" s="8" t="n">
        <x:v>273842176</x:v>
      </x:c>
      <x:c r="K38" s="8" t="n">
        <x:v>272875520</x:v>
      </x:c>
      <x:c r="L38" s="10" t="n">
        <x:v>12</x:v>
      </x:c>
      <x:c r="M38" s="10" t="n">
        <x:v>12</x:v>
      </x:c>
      <x:c r="N38" s="9" t="n">
        <x:v>106.9424826659997</x:v>
      </x:c>
      <x:c r="O38" s="2" t="str">
        <x:v>c02be5c257eec41372f9c59aa657be9a7e56e411230135fbb7e97b45e5b5ec82</x:v>
      </x:c>
      <x:c r="P38" s="2" t="str">
        <x:v>e6b806b3833b55647983afe8d694b5d817cf68d0d7d19a69c7a44ad29c3313c3</x:v>
      </x:c>
      <x:c r="Q38" s="2"/>
    </x:row>
    <x:row r="39" ht="24" customHeight="1">
      <x:c r="A39" s="2" t="str">
        <x:v>视频</x:v>
      </x:c>
      <x:c r="B39" s="2" t="str">
        <x:v>store</x:v>
      </x:c>
      <x:c r="C39" s="10" t="n">
        <x:v>3</x:v>
      </x:c>
      <x:c r="D39" s="10" t="str">
        <x:v>ok</x:v>
      </x:c>
      <x:c r="E39" s="8" t="n">
        <x:v>129412951</x:v>
      </x:c>
      <x:c r="F39" s="8" t="n">
        <x:v>129423360</x:v>
      </x:c>
      <x:c r="G39" s="8" t="n">
        <x:v>129423360</x:v>
      </x:c>
      <x:c r="H39" s="9" t="n">
        <x:v>0.08415400000012596</x:v>
      </x:c>
      <x:c r="I39" s="9" t="n">
        <x:v>0.08160391699948377</x:v>
      </x:c>
      <x:c r="J39" s="8" t="n">
        <x:v>2113536</x:v>
      </x:c>
      <x:c r="K39" s="8" t="n">
        <x:v>2113536</x:v>
      </x:c>
      <x:c r="L39" s="10" t="n">
        <x:v>12</x:v>
      </x:c>
      <x:c r="M39" s="10" t="n">
        <x:v>12</x:v>
      </x:c>
      <x:c r="N39" s="9" t="n">
        <x:v>0.27950958399924275</x:v>
      </x:c>
      <x:c r="O39" s="2" t="str">
        <x:v>e6b806b3833b55647983afe8d694b5d817cf68d0d7d19a69c7a44ad29c3313c3</x:v>
      </x:c>
      <x:c r="P39" s="2" t="str">
        <x:v>e6b806b3833b55647983afe8d694b5d817cf68d0d7d19a69c7a44ad29c3313c3</x:v>
      </x:c>
      <x:c r="Q39" s="2"/>
    </x:row>
    <x:row r="40" ht="24" customHeight="1">
      <x:c r="A40" s="2" t="str">
        <x:v>视频</x:v>
      </x:c>
      <x:c r="B40" s="2" t="str">
        <x:v>gzip-9</x:v>
      </x:c>
      <x:c r="C40" s="10" t="n">
        <x:v>3</x:v>
      </x:c>
      <x:c r="D40" s="10" t="str">
        <x:v>ok</x:v>
      </x:c>
      <x:c r="E40" s="8" t="n">
        <x:v>129412951</x:v>
      </x:c>
      <x:c r="F40" s="8" t="n">
        <x:v>129423360</x:v>
      </x:c>
      <x:c r="G40" s="8" t="n">
        <x:v>129327935</x:v>
      </x:c>
      <x:c r="H40" s="9" t="n">
        <x:v>2.3829737910000404</x:v>
      </x:c>
      <x:c r="I40" s="9" t="n">
        <x:v>0.08396208299927821</x:v>
      </x:c>
      <x:c r="J40" s="8" t="n">
        <x:v>1507328</x:v>
      </x:c>
      <x:c r="K40" s="8" t="n">
        <x:v>1261568</x:v>
      </x:c>
      <x:c r="L40" s="10" t="n">
        <x:v>12</x:v>
      </x:c>
      <x:c r="M40" s="10" t="n">
        <x:v>12</x:v>
      </x:c>
      <x:c r="N40" s="9" t="n">
        <x:v>0.2760028749999037</x:v>
      </x:c>
      <x:c r="O40" s="2" t="str">
        <x:v>04d9d520c623ab13a3f31e8f7a64d96256d800cbfc6043823fdd7f4007d5faac</x:v>
      </x:c>
      <x:c r="P40" s="2" t="str">
        <x:v>e6b806b3833b55647983afe8d694b5d817cf68d0d7d19a69c7a44ad29c3313c3</x:v>
      </x:c>
      <x:c r="Q40" s="2"/>
    </x:row>
    <x:row r="41" ht="24" customHeight="1">
      <x:c r="A41" s="2" t="str">
        <x:v>图像</x:v>
      </x:c>
      <x:c r="B41" s="2" t="str">
        <x:v>store</x:v>
      </x:c>
      <x:c r="C41" s="10" t="n">
        <x:v>1</x:v>
      </x:c>
      <x:c r="D41" s="10" t="str">
        <x:v>ok</x:v>
      </x:c>
      <x:c r="E41" s="8" t="n">
        <x:v>37898255</x:v>
      </x:c>
      <x:c r="F41" s="8" t="n">
        <x:v>37918720</x:v>
      </x:c>
      <x:c r="G41" s="8" t="n">
        <x:v>37918720</x:v>
      </x:c>
      <x:c r="H41" s="9" t="n">
        <x:v>0.041540042000000055</x:v>
      </x:c>
      <x:c r="I41" s="9" t="n">
        <x:v>0.04049470799999999</x:v>
      </x:c>
      <x:c r="J41" s="8" t="n">
        <x:v>2113536</x:v>
      </x:c>
      <x:c r="K41" s="8" t="n">
        <x:v>2113536</x:v>
      </x:c>
      <x:c r="L41" s="10" t="n">
        <x:v>17</x:v>
      </x:c>
      <x:c r="M41" s="10" t="n">
        <x:v>17</x:v>
      </x:c>
      <x:c r="N41" s="9" t="n">
        <x:v>0.1034655000000001</x:v>
      </x:c>
      <x:c r="O41" s="2" t="str">
        <x:v>4b809aec9fc7bd2ca3b4f76e7d7493eb849d74992788c57482d3cc50ba6494ca</x:v>
      </x:c>
      <x:c r="P41" s="2" t="str">
        <x:v>4b809aec9fc7bd2ca3b4f76e7d7493eb849d74992788c57482d3cc50ba6494ca</x:v>
      </x:c>
      <x:c r="Q41" s="2"/>
    </x:row>
    <x:row r="42" ht="24" customHeight="1">
      <x:c r="A42" s="2" t="str">
        <x:v>图像</x:v>
      </x:c>
      <x:c r="B42" s="2" t="str">
        <x:v>gzip-9</x:v>
      </x:c>
      <x:c r="C42" s="10" t="n">
        <x:v>1</x:v>
      </x:c>
      <x:c r="D42" s="10" t="str">
        <x:v>ok</x:v>
      </x:c>
      <x:c r="E42" s="8" t="n">
        <x:v>37898255</x:v>
      </x:c>
      <x:c r="F42" s="8" t="n">
        <x:v>37918720</x:v>
      </x:c>
      <x:c r="G42" s="8" t="n">
        <x:v>37031307</x:v>
      </x:c>
      <x:c r="H42" s="9" t="n">
        <x:v>0.815373375</x:v>
      </x:c>
      <x:c r="I42" s="9" t="n">
        <x:v>0.08339566599999992</x:v>
      </x:c>
      <x:c r="J42" s="8" t="n">
        <x:v>1507328</x:v>
      </x:c>
      <x:c r="K42" s="8" t="n">
        <x:v>1261568</x:v>
      </x:c>
      <x:c r="L42" s="10" t="n">
        <x:v>17</x:v>
      </x:c>
      <x:c r="M42" s="10" t="n">
        <x:v>17</x:v>
      </x:c>
      <x:c r="N42" s="9" t="n">
        <x:v>0.14164900000000014</x:v>
      </x:c>
      <x:c r="O42" s="2" t="str">
        <x:v>ad847fe70d3e137b5e8387fda98b77a9a48ef433e1215c008ca6bf8b9065bede</x:v>
      </x:c>
      <x:c r="P42" s="2" t="str">
        <x:v>4b809aec9fc7bd2ca3b4f76e7d7493eb849d74992788c57482d3cc50ba6494ca</x:v>
      </x:c>
      <x:c r="Q42" s="2"/>
    </x:row>
    <x:row r="43" ht="24" customHeight="1">
      <x:c r="A43" s="2" t="str">
        <x:v>图像</x:v>
      </x:c>
      <x:c r="B43" s="2" t="str">
        <x:v>bzip2-9</x:v>
      </x:c>
      <x:c r="C43" s="10" t="n">
        <x:v>1</x:v>
      </x:c>
      <x:c r="D43" s="10" t="str">
        <x:v>ok</x:v>
      </x:c>
      <x:c r="E43" s="8" t="n">
        <x:v>37898255</x:v>
      </x:c>
      <x:c r="F43" s="8" t="n">
        <x:v>37918720</x:v>
      </x:c>
      <x:c r="G43" s="8" t="n">
        <x:v>37066252</x:v>
      </x:c>
      <x:c r="H43" s="9" t="n">
        <x:v>2.9973975829999997</x:v>
      </x:c>
      <x:c r="I43" s="9" t="n">
        <x:v>1.5061131249999997</x:v>
      </x:c>
      <x:c r="J43" s="8" t="n">
        <x:v>7815168</x:v>
      </x:c>
      <x:c r="K43" s="8" t="n">
        <x:v>4800512</x:v>
      </x:c>
      <x:c r="L43" s="10" t="n">
        <x:v>17</x:v>
      </x:c>
      <x:c r="M43" s="10" t="n">
        <x:v>17</x:v>
      </x:c>
      <x:c r="N43" s="9" t="n">
        <x:v>1.5657922080000004</x:v>
      </x:c>
      <x:c r="O43" s="2" t="str">
        <x:v>a5de24d4e311a80a2556969c1cec433d6ef5639c3b7f1a953356e0a294d7d137</x:v>
      </x:c>
      <x:c r="P43" s="2" t="str">
        <x:v>4b809aec9fc7bd2ca3b4f76e7d7493eb849d74992788c57482d3cc50ba6494ca</x:v>
      </x:c>
      <x:c r="Q43" s="2"/>
    </x:row>
    <x:row r="44" ht="24" customHeight="1">
      <x:c r="A44" s="2" t="str">
        <x:v>图像</x:v>
      </x:c>
      <x:c r="B44" s="2" t="str">
        <x:v>xz-9e</x:v>
      </x:c>
      <x:c r="C44" s="10" t="n">
        <x:v>1</x:v>
      </x:c>
      <x:c r="D44" s="10" t="str">
        <x:v>ok</x:v>
      </x:c>
      <x:c r="E44" s="8" t="n">
        <x:v>37898255</x:v>
      </x:c>
      <x:c r="F44" s="8" t="n">
        <x:v>37918720</x:v>
      </x:c>
      <x:c r="G44" s="8" t="n">
        <x:v>36888124</x:v>
      </x:c>
      <x:c r="H44" s="9" t="n">
        <x:v>10.189269499999998</x:v>
      </x:c>
      <x:c r="I44" s="9" t="n">
        <x:v>0.7686860419999988</x:v>
      </x:c>
      <x:c r="J44" s="8" t="n">
        <x:v>411041792</x:v>
      </x:c>
      <x:c r="K44" s="8" t="n">
        <x:v>39960576</x:v>
      </x:c>
      <x:c r="L44" s="10" t="n">
        <x:v>17</x:v>
      </x:c>
      <x:c r="M44" s="10" t="n">
        <x:v>17</x:v>
      </x:c>
      <x:c r="N44" s="9" t="n">
        <x:v>0.827608957999999</x:v>
      </x:c>
      <x:c r="O44" s="2" t="str">
        <x:v>cf2f526781f4620e3830aca84fccb765892d6620029cce748dd46bc1de09499d</x:v>
      </x:c>
      <x:c r="P44" s="2" t="str">
        <x:v>4b809aec9fc7bd2ca3b4f76e7d7493eb849d74992788c57482d3cc50ba6494ca</x:v>
      </x:c>
      <x:c r="Q44" s="2"/>
    </x:row>
    <x:row r="45" ht="24" customHeight="1">
      <x:c r="A45" s="2" t="str">
        <x:v>图像</x:v>
      </x:c>
      <x:c r="B45" s="2" t="str">
        <x:v>zstd-3</x:v>
      </x:c>
      <x:c r="C45" s="10" t="n">
        <x:v>1</x:v>
      </x:c>
      <x:c r="D45" s="10" t="str">
        <x:v>ok</x:v>
      </x:c>
      <x:c r="E45" s="8" t="n">
        <x:v>37898255</x:v>
      </x:c>
      <x:c r="F45" s="8" t="n">
        <x:v>37918720</x:v>
      </x:c>
      <x:c r="G45" s="8" t="n">
        <x:v>37146562</x:v>
      </x:c>
      <x:c r="H45" s="9" t="n">
        <x:v>0.08027087500000007</x:v>
      </x:c>
      <x:c r="I45" s="9" t="n">
        <x:v>0.03838012500000332</x:v>
      </x:c>
      <x:c r="J45" s="8" t="n">
        <x:v>8192000</x:v>
      </x:c>
      <x:c r="K45" s="8" t="n">
        <x:v>7438336</x:v>
      </x:c>
      <x:c r="L45" s="10" t="n">
        <x:v>17</x:v>
      </x:c>
      <x:c r="M45" s="10" t="n">
        <x:v>17</x:v>
      </x:c>
      <x:c r="N45" s="9" t="n">
        <x:v>0.09711462499999968</x:v>
      </x:c>
      <x:c r="O45" s="2" t="str">
        <x:v>e9aaf954ed868a520d6ff2b4d27679a0d9196c31a2158c62e301e2726da39666</x:v>
      </x:c>
      <x:c r="P45" s="2" t="str">
        <x:v>4b809aec9fc7bd2ca3b4f76e7d7493eb849d74992788c57482d3cc50ba6494ca</x:v>
      </x:c>
      <x:c r="Q45" s="2"/>
    </x:row>
    <x:row r="46" ht="24" customHeight="1">
      <x:c r="A46" s="2" t="str">
        <x:v>图像</x:v>
      </x:c>
      <x:c r="B46" s="2" t="str">
        <x:v>zstd-19</x:v>
      </x:c>
      <x:c r="C46" s="10" t="n">
        <x:v>1</x:v>
      </x:c>
      <x:c r="D46" s="10" t="str">
        <x:v>ok</x:v>
      </x:c>
      <x:c r="E46" s="8" t="n">
        <x:v>37898255</x:v>
      </x:c>
      <x:c r="F46" s="8" t="n">
        <x:v>37918720</x:v>
      </x:c>
      <x:c r="G46" s="8" t="n">
        <x:v>36834042</x:v>
      </x:c>
      <x:c r="H46" s="9" t="n">
        <x:v>5.556126457999998</x:v>
      </x:c>
      <x:c r="I46" s="9" t="n">
        <x:v>0.04870391699999743</x:v>
      </x:c>
      <x:c r="J46" s="8" t="n">
        <x:v>97107968</x:v>
      </x:c>
      <x:c r="K46" s="8" t="n">
        <x:v>13746176</x:v>
      </x:c>
      <x:c r="L46" s="10" t="n">
        <x:v>17</x:v>
      </x:c>
      <x:c r="M46" s="10" t="n">
        <x:v>17</x:v>
      </x:c>
      <x:c r="N46" s="9" t="n">
        <x:v>0.10747470800000158</x:v>
      </x:c>
      <x:c r="O46" s="2" t="str">
        <x:v>d64cc1b3d64232abbeafaa2f301ad5e101499689d49c62805b07332dc6692855</x:v>
      </x:c>
      <x:c r="P46" s="2" t="str">
        <x:v>4b809aec9fc7bd2ca3b4f76e7d7493eb849d74992788c57482d3cc50ba6494ca</x:v>
      </x:c>
      <x:c r="Q46" s="2"/>
    </x:row>
    <x:row r="47" ht="24" customHeight="1">
      <x:c r="A47" s="2" t="str">
        <x:v>图像</x:v>
      </x:c>
      <x:c r="B47" s="2" t="str">
        <x:v>zstd-22</x:v>
      </x:c>
      <x:c r="C47" s="10" t="n">
        <x:v>1</x:v>
      </x:c>
      <x:c r="D47" s="10" t="str">
        <x:v>ok</x:v>
      </x:c>
      <x:c r="E47" s="8" t="n">
        <x:v>37898255</x:v>
      </x:c>
      <x:c r="F47" s="8" t="n">
        <x:v>37918720</x:v>
      </x:c>
      <x:c r="G47" s="8" t="n">
        <x:v>36833562</x:v>
      </x:c>
      <x:c r="H47" s="9" t="n">
        <x:v>3.810650542000001</x:v>
      </x:c>
      <x:c r="I47" s="9" t="n">
        <x:v>0.047596916999999905</x:v>
      </x:c>
      <x:c r="J47" s="8" t="n">
        <x:v>712097792</x:v>
      </x:c>
      <x:c r="K47" s="8" t="n">
        <x:v>43024384</x:v>
      </x:c>
      <x:c r="L47" s="10" t="n">
        <x:v>17</x:v>
      </x:c>
      <x:c r="M47" s="10" t="n">
        <x:v>17</x:v>
      </x:c>
      <x:c r="N47" s="9" t="n">
        <x:v>0.10637383400000289</x:v>
      </x:c>
      <x:c r="O47" s="2" t="str">
        <x:v>93f046365a855c787260f221e6294ea98880090a61ec829c76e7d1babb9caf72</x:v>
      </x:c>
      <x:c r="P47" s="2" t="str">
        <x:v>4b809aec9fc7bd2ca3b4f76e7d7493eb849d74992788c57482d3cc50ba6494ca</x:v>
      </x:c>
      <x:c r="Q47" s="2"/>
    </x:row>
    <x:row r="48" ht="24" customHeight="1">
      <x:c r="A48" s="2" t="str">
        <x:v>图像</x:v>
      </x:c>
      <x:c r="B48" s="2" t="str">
        <x:v>brotli-6</x:v>
      </x:c>
      <x:c r="C48" s="10" t="n">
        <x:v>1</x:v>
      </x:c>
      <x:c r="D48" s="10" t="str">
        <x:v>ok</x:v>
      </x:c>
      <x:c r="E48" s="8" t="n">
        <x:v>37898255</x:v>
      </x:c>
      <x:c r="F48" s="8" t="n">
        <x:v>37918720</x:v>
      </x:c>
      <x:c r="G48" s="8" t="n">
        <x:v>36856478</x:v>
      </x:c>
      <x:c r="H48" s="9" t="n">
        <x:v>0.25543474999999916</x:v>
      </x:c>
      <x:c r="I48" s="9" t="n">
        <x:v>0.1360543750000005</x:v>
      </x:c>
      <x:c r="J48" s="8" t="n">
        <x:v>51871744</x:v>
      </x:c>
      <x:c r="K48" s="8" t="n">
        <x:v>31506432</x:v>
      </x:c>
      <x:c r="L48" s="10" t="n">
        <x:v>17</x:v>
      </x:c>
      <x:c r="M48" s="10" t="n">
        <x:v>17</x:v>
      </x:c>
      <x:c r="N48" s="9" t="n">
        <x:v>0.19450233299999908</x:v>
      </x:c>
      <x:c r="O48" s="2" t="str">
        <x:v>f36f580acce76f6d8507c6266c9858243c2f64616d07e56b5253b6da44433f11</x:v>
      </x:c>
      <x:c r="P48" s="2" t="str">
        <x:v>4b809aec9fc7bd2ca3b4f76e7d7493eb849d74992788c57482d3cc50ba6494ca</x:v>
      </x:c>
      <x:c r="Q48" s="2"/>
    </x:row>
    <x:row r="49" ht="24" customHeight="1">
      <x:c r="A49" s="2" t="str">
        <x:v>图像</x:v>
      </x:c>
      <x:c r="B49" s="2" t="str">
        <x:v>brotli-11</x:v>
      </x:c>
      <x:c r="C49" s="10" t="n">
        <x:v>1</x:v>
      </x:c>
      <x:c r="D49" s="10" t="str">
        <x:v>ok</x:v>
      </x:c>
      <x:c r="E49" s="8" t="n">
        <x:v>37898255</x:v>
      </x:c>
      <x:c r="F49" s="8" t="n">
        <x:v>37918720</x:v>
      </x:c>
      <x:c r="G49" s="8" t="n">
        <x:v>36695582</x:v>
      </x:c>
      <x:c r="H49" s="9" t="n">
        <x:v>76.65801441699999</x:v>
      </x:c>
      <x:c r="I49" s="9" t="n">
        <x:v>0.24757925000000114</x:v>
      </x:c>
      <x:c r="J49" s="8" t="n">
        <x:v>245104640</x:v>
      </x:c>
      <x:c r="K49" s="8" t="n">
        <x:v>29622272</x:v>
      </x:c>
      <x:c r="L49" s="10" t="n">
        <x:v>17</x:v>
      </x:c>
      <x:c r="M49" s="10" t="n">
        <x:v>17</x:v>
      </x:c>
      <x:c r="N49" s="9" t="n">
        <x:v>0.30746324999999786</x:v>
      </x:c>
      <x:c r="O49" s="2" t="str">
        <x:v>59117617e6eb4fbcc1f2ed0cac4d11e03f193a9fd826f35e0e36fd849cc8eab1</x:v>
      </x:c>
      <x:c r="P49" s="2" t="str">
        <x:v>4b809aec9fc7bd2ca3b4f76e7d7493eb849d74992788c57482d3cc50ba6494ca</x:v>
      </x:c>
      <x:c r="Q49" s="2"/>
    </x:row>
    <x:row r="50" ht="24" customHeight="1">
      <x:c r="A50" s="2" t="str">
        <x:v>图像</x:v>
      </x:c>
      <x:c r="B50" s="2" t="str">
        <x:v>7z-lzma2-9</x:v>
      </x:c>
      <x:c r="C50" s="10" t="n">
        <x:v>1</x:v>
      </x:c>
      <x:c r="D50" s="10" t="str">
        <x:v>ok</x:v>
      </x:c>
      <x:c r="E50" s="8" t="n">
        <x:v>37898255</x:v>
      </x:c>
      <x:c r="F50" s="8" t="n">
        <x:v>37918720</x:v>
      </x:c>
      <x:c r="G50" s="8" t="n">
        <x:v>36892261</x:v>
      </x:c>
      <x:c r="H50" s="9" t="n">
        <x:v>8.042197124999987</x:v>
      </x:c>
      <x:c r="I50" s="9" t="n">
        <x:v>0.5423751250000066</x:v>
      </x:c>
      <x:c r="J50" s="8" t="n">
        <x:v>412336128</x:v>
      </x:c>
      <x:c r="K50" s="8" t="n">
        <x:v>80691200</x:v>
      </x:c>
      <x:c r="L50" s="10" t="n">
        <x:v>17</x:v>
      </x:c>
      <x:c r="M50" s="10" t="n">
        <x:v>17</x:v>
      </x:c>
      <x:c r="N50" s="9" t="n">
        <x:v>0.602544666</x:v>
      </x:c>
      <x:c r="O50" s="2" t="str">
        <x:v>891a8ae3c0edd8a2a007016f6b8f433e322216387c395b528a17a81502b1576f</x:v>
      </x:c>
      <x:c r="P50" s="2" t="str">
        <x:v>4b809aec9fc7bd2ca3b4f76e7d7493eb849d74992788c57482d3cc50ba6494ca</x:v>
      </x:c>
      <x:c r="Q50" s="2"/>
    </x:row>
    <x:row r="51" ht="24" customHeight="1">
      <x:c r="A51" s="2" t="str">
        <x:v>图像</x:v>
      </x:c>
      <x:c r="B51" s="2" t="str">
        <x:v>7z-ppmd-9</x:v>
      </x:c>
      <x:c r="C51" s="10" t="n">
        <x:v>1</x:v>
      </x:c>
      <x:c r="D51" s="10" t="str">
        <x:v>ok</x:v>
      </x:c>
      <x:c r="E51" s="8" t="n">
        <x:v>37898255</x:v>
      </x:c>
      <x:c r="F51" s="8" t="n">
        <x:v>37918720</x:v>
      </x:c>
      <x:c r="G51" s="8" t="n">
        <x:v>37268394</x:v>
      </x:c>
      <x:c r="H51" s="9" t="n">
        <x:v>18.320339667</x:v>
      </x:c>
      <x:c r="I51" s="9" t="n">
        <x:v>19.638962709000026</x:v>
      </x:c>
      <x:c r="J51" s="8" t="n">
        <x:v>273858560</x:v>
      </x:c>
      <x:c r="K51" s="8" t="n">
        <x:v>272924672</x:v>
      </x:c>
      <x:c r="L51" s="10" t="n">
        <x:v>17</x:v>
      </x:c>
      <x:c r="M51" s="10" t="n">
        <x:v>17</x:v>
      </x:c>
      <x:c r="N51" s="9" t="n">
        <x:v>19.697886832999984</x:v>
      </x:c>
      <x:c r="O51" s="2" t="str">
        <x:v>1e35666f8923039216d934c3ad3afb2dd996a882425ce4d34222930c2ec80374</x:v>
      </x:c>
      <x:c r="P51" s="2" t="str">
        <x:v>4b809aec9fc7bd2ca3b4f76e7d7493eb849d74992788c57482d3cc50ba6494ca</x:v>
      </x:c>
      <x:c r="Q51" s="2"/>
    </x:row>
    <x:row r="52" ht="24" customHeight="1">
      <x:c r="A52" s="2" t="str">
        <x:v>图像</x:v>
      </x:c>
      <x:c r="B52" s="2" t="str">
        <x:v>zpaq-5</x:v>
      </x:c>
      <x:c r="C52" s="10" t="n">
        <x:v>1</x:v>
      </x:c>
      <x:c r="D52" s="10" t="str">
        <x:v>ok</x:v>
      </x:c>
      <x:c r="E52" s="8" t="n">
        <x:v>37898255</x:v>
      </x:c>
      <x:c r="F52" s="8" t="n">
        <x:v>37918720</x:v>
      </x:c>
      <x:c r="G52" s="8" t="n">
        <x:v>36402344</x:v>
      </x:c>
      <x:c r="H52" s="9" t="n">
        <x:v>132.41768429200002</x:v>
      </x:c>
      <x:c r="I52" s="9" t="n">
        <x:v>136.77112766699997</x:v>
      </x:c>
      <x:c r="J52" s="8" t="n">
        <x:v>805748736</x:v>
      </x:c>
      <x:c r="K52" s="8" t="n">
        <x:v>805748736</x:v>
      </x:c>
      <x:c r="L52" s="10" t="n">
        <x:v>17</x:v>
      </x:c>
      <x:c r="M52" s="10" t="n">
        <x:v>17</x:v>
      </x:c>
      <x:c r="N52" s="9" t="n">
        <x:v>136.832823959</x:v>
      </x:c>
      <x:c r="O52" s="2" t="str">
        <x:v>a6830873b39847c920d2e77ff95dbc4b666111988a05f57ea027e43ac4202095</x:v>
      </x:c>
      <x:c r="P52" s="2" t="str">
        <x:v>4b809aec9fc7bd2ca3b4f76e7d7493eb849d74992788c57482d3cc50ba6494ca</x:v>
      </x:c>
      <x:c r="Q52" s="2"/>
    </x:row>
    <x:row r="53" ht="24" customHeight="1">
      <x:c r="A53" s="2" t="str">
        <x:v>完整资源包</x:v>
      </x:c>
      <x:c r="B53" s="2" t="str">
        <x:v>store</x:v>
      </x:c>
      <x:c r="C53" s="10" t="n">
        <x:v>1</x:v>
      </x:c>
      <x:c r="D53" s="10" t="str">
        <x:v>ok</x:v>
      </x:c>
      <x:c r="E53" s="8" t="n">
        <x:v>167312523</x:v>
      </x:c>
      <x:c r="F53" s="8" t="n">
        <x:v>167342080</x:v>
      </x:c>
      <x:c r="G53" s="8" t="n">
        <x:v>167342080</x:v>
      </x:c>
      <x:c r="H53" s="9" t="n">
        <x:v>0.1907052500000077</x:v>
      </x:c>
      <x:c r="I53" s="9" t="n">
        <x:v>0.08517316699999355</x:v>
      </x:c>
      <x:c r="J53" s="8" t="n">
        <x:v>2113536</x:v>
      </x:c>
      <x:c r="K53" s="8" t="n">
        <x:v>2113536</x:v>
      </x:c>
      <x:c r="L53" s="10" t="n">
        <x:v>30</x:v>
      </x:c>
      <x:c r="M53" s="10" t="n">
        <x:v>30</x:v>
      </x:c>
      <x:c r="N53" s="9" t="n">
        <x:v>0.3484161659999927</x:v>
      </x:c>
      <x:c r="O53" s="2" t="str">
        <x:v>038a63660ef13a8f4d1ea28fd35c4842b75e12f6ea1e7295e926d7c2db66abfc</x:v>
      </x:c>
      <x:c r="P53" s="2" t="str">
        <x:v>038a63660ef13a8f4d1ea28fd35c4842b75e12f6ea1e7295e926d7c2db66abfc</x:v>
      </x:c>
      <x:c r="Q53" s="2"/>
    </x:row>
    <x:row r="54" ht="24" customHeight="1">
      <x:c r="A54" s="2" t="str">
        <x:v>完整资源包</x:v>
      </x:c>
      <x:c r="B54" s="2" t="str">
        <x:v>gzip-9</x:v>
      </x:c>
      <x:c r="C54" s="10" t="n">
        <x:v>1</x:v>
      </x:c>
      <x:c r="D54" s="10" t="str">
        <x:v>ok</x:v>
      </x:c>
      <x:c r="E54" s="8" t="n">
        <x:v>167312523</x:v>
      </x:c>
      <x:c r="F54" s="8" t="n">
        <x:v>167342080</x:v>
      </x:c>
      <x:c r="G54" s="8" t="n">
        <x:v>166360668</x:v>
      </x:c>
      <x:c r="H54" s="9" t="n">
        <x:v>3.124769334000007</x:v>
      </x:c>
      <x:c r="I54" s="9" t="n">
        <x:v>0.13885808300000235</x:v>
      </x:c>
      <x:c r="J54" s="8" t="n">
        <x:v>1507328</x:v>
      </x:c>
      <x:c r="K54" s="8" t="n">
        <x:v>1261568</x:v>
      </x:c>
      <x:c r="L54" s="10" t="n">
        <x:v>30</x:v>
      </x:c>
      <x:c r="M54" s="10" t="n">
        <x:v>30</x:v>
      </x:c>
      <x:c r="N54" s="9" t="n">
        <x:v>0.388153917000011</x:v>
      </x:c>
      <x:c r="O54" s="2" t="str">
        <x:v>c37c69236c20df08fb2628e2ce2146b1a128f1425c042483b1d6a4c9e69ce10e</x:v>
      </x:c>
      <x:c r="P54" s="2" t="str">
        <x:v>038a63660ef13a8f4d1ea28fd35c4842b75e12f6ea1e7295e926d7c2db66abfc</x:v>
      </x:c>
      <x:c r="Q54" s="2"/>
    </x:row>
    <x:row r="55" ht="24" customHeight="1">
      <x:c r="A55" s="2" t="str">
        <x:v>完整资源包</x:v>
      </x:c>
      <x:c r="B55" s="2" t="str">
        <x:v>bzip2-9</x:v>
      </x:c>
      <x:c r="C55" s="10" t="n">
        <x:v>1</x:v>
      </x:c>
      <x:c r="D55" s="10" t="str">
        <x:v>ok</x:v>
      </x:c>
      <x:c r="E55" s="8" t="n">
        <x:v>167312523</x:v>
      </x:c>
      <x:c r="F55" s="8" t="n">
        <x:v>167342080</x:v>
      </x:c>
      <x:c r="G55" s="8" t="n">
        <x:v>166960408</x:v>
      </x:c>
      <x:c r="H55" s="9" t="n">
        <x:v>13.622054874999947</x:v>
      </x:c>
      <x:c r="I55" s="9" t="n">
        <x:v>6.515403165999999</x:v>
      </x:c>
      <x:c r="J55" s="8" t="n">
        <x:v>7815168</x:v>
      </x:c>
      <x:c r="K55" s="8" t="n">
        <x:v>4800512</x:v>
      </x:c>
      <x:c r="L55" s="10" t="n">
        <x:v>30</x:v>
      </x:c>
      <x:c r="M55" s="10" t="n">
        <x:v>30</x:v>
      </x:c>
      <x:c r="N55" s="9" t="n">
        <x:v>6.764627292</x:v>
      </x:c>
      <x:c r="O55" s="2" t="str">
        <x:v>efa50db8710933216301f84c3ba7c516db928c783b9b6e3b250e260de8bb1887</x:v>
      </x:c>
      <x:c r="P55" s="2" t="str">
        <x:v>038a63660ef13a8f4d1ea28fd35c4842b75e12f6ea1e7295e926d7c2db66abfc</x:v>
      </x:c>
      <x:c r="Q55" s="2"/>
    </x:row>
    <x:row r="56" ht="24" customHeight="1">
      <x:c r="A56" s="2" t="str">
        <x:v>完整资源包</x:v>
      </x:c>
      <x:c r="B56" s="2" t="str">
        <x:v>xz-9e</x:v>
      </x:c>
      <x:c r="C56" s="10" t="n">
        <x:v>1</x:v>
      </x:c>
      <x:c r="D56" s="10" t="str">
        <x:v>ok</x:v>
      </x:c>
      <x:c r="E56" s="8" t="n">
        <x:v>167312523</x:v>
      </x:c>
      <x:c r="F56" s="8" t="n">
        <x:v>167342080</x:v>
      </x:c>
      <x:c r="G56" s="8" t="n">
        <x:v>166173008</x:v>
      </x:c>
      <x:c r="H56" s="9" t="n">
        <x:v>70.57297733299998</x:v>
      </x:c>
      <x:c r="I56" s="9" t="n">
        <x:v>1.1964037090000375</x:v>
      </x:c>
      <x:c r="J56" s="8" t="n">
        <x:v>707182592</x:v>
      </x:c>
      <x:c r="K56" s="8" t="n">
        <x:v>69156864</x:v>
      </x:c>
      <x:c r="L56" s="10" t="n">
        <x:v>30</x:v>
      </x:c>
      <x:c r="M56" s="10" t="n">
        <x:v>30</x:v>
      </x:c>
      <x:c r="N56" s="9" t="n">
        <x:v>1.4507099579999476</x:v>
      </x:c>
      <x:c r="O56" s="2" t="str">
        <x:v>b68a5aa2de1a3028737cda86f31e01771b736f4521573136055d668fa62a3a3d</x:v>
      </x:c>
      <x:c r="P56" s="2" t="str">
        <x:v>038a63660ef13a8f4d1ea28fd35c4842b75e12f6ea1e7295e926d7c2db66abfc</x:v>
      </x:c>
      <x:c r="Q56" s="2"/>
    </x:row>
    <x:row r="57" ht="24" customHeight="1">
      <x:c r="A57" s="2" t="str">
        <x:v>完整资源包</x:v>
      </x:c>
      <x:c r="B57" s="2" t="str">
        <x:v>zstd-3</x:v>
      </x:c>
      <x:c r="C57" s="10" t="n">
        <x:v>1</x:v>
      </x:c>
      <x:c r="D57" s="10" t="str">
        <x:v>ok</x:v>
      </x:c>
      <x:c r="E57" s="8" t="n">
        <x:v>167312523</x:v>
      </x:c>
      <x:c r="F57" s="8" t="n">
        <x:v>167342080</x:v>
      </x:c>
      <x:c r="G57" s="8" t="n">
        <x:v>166492331</x:v>
      </x:c>
      <x:c r="H57" s="9" t="n">
        <x:v>0.1386318749999873</x:v>
      </x:c>
      <x:c r="I57" s="9" t="n">
        <x:v>0.08510937500000182</x:v>
      </x:c>
      <x:c r="J57" s="8" t="n">
        <x:v>8192000</x:v>
      </x:c>
      <x:c r="K57" s="8" t="n">
        <x:v>7421952</x:v>
      </x:c>
      <x:c r="L57" s="10" t="n">
        <x:v>30</x:v>
      </x:c>
      <x:c r="M57" s="10" t="n">
        <x:v>30</x:v>
      </x:c>
      <x:c r="N57" s="9" t="n">
        <x:v>0.33663829099998566</x:v>
      </x:c>
      <x:c r="O57" s="2" t="str">
        <x:v>b5441947223b14e54529c5451261761a3ba0532c2a5538cfab9f7f98e37998b7</x:v>
      </x:c>
      <x:c r="P57" s="2" t="str">
        <x:v>038a63660ef13a8f4d1ea28fd35c4842b75e12f6ea1e7295e926d7c2db66abfc</x:v>
      </x:c>
      <x:c r="Q57" s="2"/>
    </x:row>
    <x:row r="58" ht="24" customHeight="1">
      <x:c r="A58" s="2" t="str">
        <x:v>完整资源包</x:v>
      </x:c>
      <x:c r="B58" s="2" t="str">
        <x:v>zstd-19</x:v>
      </x:c>
      <x:c r="C58" s="10" t="n">
        <x:v>1</x:v>
      </x:c>
      <x:c r="D58" s="10" t="str">
        <x:v>ok</x:v>
      </x:c>
      <x:c r="E58" s="8" t="n">
        <x:v>167312523</x:v>
      </x:c>
      <x:c r="F58" s="8" t="n">
        <x:v>167342080</x:v>
      </x:c>
      <x:c r="G58" s="8" t="n">
        <x:v>166097286</x:v>
      </x:c>
      <x:c r="H58" s="9" t="n">
        <x:v>25.202717666000012</x:v>
      </x:c>
      <x:c r="I58" s="9" t="n">
        <x:v>0.0847435000000587</x:v>
      </x:c>
      <x:c r="J58" s="8" t="n">
        <x:v>97107968</x:v>
      </x:c>
      <x:c r="K58" s="8" t="n">
        <x:v>13762560</x:v>
      </x:c>
      <x:c r="L58" s="10" t="n">
        <x:v>30</x:v>
      </x:c>
      <x:c r="M58" s="10" t="n">
        <x:v>30</x:v>
      </x:c>
      <x:c r="N58" s="9" t="n">
        <x:v>0.34065895799994905</x:v>
      </x:c>
      <x:c r="O58" s="2" t="str">
        <x:v>14f57742f3e4274bbda5bcf453242f835b5dd5321b37effa453e0353e31d271c</x:v>
      </x:c>
      <x:c r="P58" s="2" t="str">
        <x:v>038a63660ef13a8f4d1ea28fd35c4842b75e12f6ea1e7295e926d7c2db66abfc</x:v>
      </x:c>
      <x:c r="Q58" s="2"/>
    </x:row>
    <x:row r="59" ht="24" customHeight="1">
      <x:c r="A59" s="2" t="str">
        <x:v>完整资源包</x:v>
      </x:c>
      <x:c r="B59" s="2" t="str">
        <x:v>zstd-22</x:v>
      </x:c>
      <x:c r="C59" s="10" t="n">
        <x:v>1</x:v>
      </x:c>
      <x:c r="D59" s="10" t="str">
        <x:v>ok</x:v>
      </x:c>
      <x:c r="E59" s="8" t="n">
        <x:v>167312523</x:v>
      </x:c>
      <x:c r="F59" s="8" t="n">
        <x:v>167342080</x:v>
      </x:c>
      <x:c r="G59" s="8" t="n">
        <x:v>166091741</x:v>
      </x:c>
      <x:c r="H59" s="9" t="n">
        <x:v>31.998503166999967</x:v>
      </x:c>
      <x:c r="I59" s="9" t="n">
        <x:v>0.09088274999999157</x:v>
      </x:c>
      <x:c r="J59" s="8" t="n">
        <x:v>876838912</x:v>
      </x:c>
      <x:c r="K59" s="8" t="n">
        <x:v>139476992</x:v>
      </x:c>
      <x:c r="L59" s="10" t="n">
        <x:v>30</x:v>
      </x:c>
      <x:c r="M59" s="10" t="n">
        <x:v>30</x:v>
      </x:c>
      <x:c r="N59" s="9" t="n">
        <x:v>0.3402280000000246</x:v>
      </x:c>
      <x:c r="O59" s="2" t="str">
        <x:v>4c41a9e75651c0db2a627f77652c9ed3334ffa7480ee3236b867901a57658f4d</x:v>
      </x:c>
      <x:c r="P59" s="2" t="str">
        <x:v>038a63660ef13a8f4d1ea28fd35c4842b75e12f6ea1e7295e926d7c2db66abfc</x:v>
      </x:c>
      <x:c r="Q59" s="2"/>
    </x:row>
    <x:row r="60" ht="24" customHeight="1">
      <x:c r="A60" s="2" t="str">
        <x:v>完整资源包</x:v>
      </x:c>
      <x:c r="B60" s="2" t="str">
        <x:v>brotli-6</x:v>
      </x:c>
      <x:c r="C60" s="10" t="n">
        <x:v>1</x:v>
      </x:c>
      <x:c r="D60" s="10" t="str">
        <x:v>ok</x:v>
      </x:c>
      <x:c r="E60" s="8" t="n">
        <x:v>167312523</x:v>
      </x:c>
      <x:c r="F60" s="8" t="n">
        <x:v>167342080</x:v>
      </x:c>
      <x:c r="G60" s="8" t="n">
        <x:v>166246011</x:v>
      </x:c>
      <x:c r="H60" s="9" t="n">
        <x:v>0.5499861670000428</x:v>
      </x:c>
      <x:c r="I60" s="9" t="n">
        <x:v>0.20061325000006036</x:v>
      </x:c>
      <x:c r="J60" s="8" t="n">
        <x:v>57720832</x:v>
      </x:c>
      <x:c r="K60" s="8" t="n">
        <x:v>28835840</x:v>
      </x:c>
      <x:c r="L60" s="10" t="n">
        <x:v>30</x:v>
      </x:c>
      <x:c r="M60" s="10" t="n">
        <x:v>30</x:v>
      </x:c>
      <x:c r="N60" s="9" t="n">
        <x:v>0.4516557910000074</x:v>
      </x:c>
      <x:c r="O60" s="2" t="str">
        <x:v>0e84132aa0a0332bdc50f84eab09db1237af516438555613d5c538877dcf68e1</x:v>
      </x:c>
      <x:c r="P60" s="2" t="str">
        <x:v>038a63660ef13a8f4d1ea28fd35c4842b75e12f6ea1e7295e926d7c2db66abfc</x:v>
      </x:c>
      <x:c r="Q60" s="2"/>
    </x:row>
    <x:row r="61" ht="24" customHeight="1">
      <x:c r="A61" s="2" t="str">
        <x:v>完整资源包</x:v>
      </x:c>
      <x:c r="B61" s="2" t="str">
        <x:v>brotli-11</x:v>
      </x:c>
      <x:c r="C61" s="10" t="n">
        <x:v>1</x:v>
      </x:c>
      <x:c r="D61" s="10" t="str">
        <x:v>ok</x:v>
      </x:c>
      <x:c r="E61" s="8" t="n">
        <x:v>167312523</x:v>
      </x:c>
      <x:c r="F61" s="8" t="n">
        <x:v>167342080</x:v>
      </x:c>
      <x:c r="G61" s="8" t="n">
        <x:v>166072291</x:v>
      </x:c>
      <x:c r="H61" s="9" t="n">
        <x:v>260.04350554200005</x:v>
      </x:c>
      <x:c r="I61" s="9" t="n">
        <x:v>0.3139324999999644</x:v>
      </x:c>
      <x:c r="J61" s="8" t="n">
        <x:v>250888192</x:v>
      </x:c>
      <x:c r="K61" s="8" t="n">
        <x:v>29671424</x:v>
      </x:c>
      <x:c r="L61" s="10" t="n">
        <x:v>30</x:v>
      </x:c>
      <x:c r="M61" s="10" t="n">
        <x:v>30</x:v>
      </x:c>
      <x:c r="N61" s="9" t="n">
        <x:v>0.5685045000000173</x:v>
      </x:c>
      <x:c r="O61" s="2" t="str">
        <x:v>004f8f11a4cfbd29b7ffecd233d257ff4ebcd1e77580da12f952c3f344a46a7e</x:v>
      </x:c>
      <x:c r="P61" s="2" t="str">
        <x:v>038a63660ef13a8f4d1ea28fd35c4842b75e12f6ea1e7295e926d7c2db66abfc</x:v>
      </x:c>
      <x:c r="Q61" s="2"/>
    </x:row>
    <x:row r="62" ht="24" customHeight="1">
      <x:c r="A62" s="2" t="str">
        <x:v>完整资源包</x:v>
      </x:c>
      <x:c r="B62" s="2" t="str">
        <x:v>7z-lzma2-9</x:v>
      </x:c>
      <x:c r="C62" s="10" t="n">
        <x:v>1</x:v>
      </x:c>
      <x:c r="D62" s="10" t="str">
        <x:v>ok</x:v>
      </x:c>
      <x:c r="E62" s="8" t="n">
        <x:v>167312523</x:v>
      </x:c>
      <x:c r="F62" s="8" t="n">
        <x:v>167342080</x:v>
      </x:c>
      <x:c r="G62" s="8" t="n">
        <x:v>166172180</x:v>
      </x:c>
      <x:c r="H62" s="9" t="n">
        <x:v>55.023974209000016</x:v>
      </x:c>
      <x:c r="I62" s="9" t="n">
        <x:v>0.6434715829999504</x:v>
      </x:c>
      <x:c r="J62" s="8" t="n">
        <x:v>1740849152</x:v>
      </x:c>
      <x:c r="K62" s="8" t="n">
        <x:v>347996160</x:v>
      </x:c>
      <x:c r="L62" s="10" t="n">
        <x:v>30</x:v>
      </x:c>
      <x:c r="M62" s="10" t="n">
        <x:v>30</x:v>
      </x:c>
      <x:c r="N62" s="9" t="n">
        <x:v>0.9025947080000378</x:v>
      </x:c>
      <x:c r="O62" s="2" t="str">
        <x:v>db3527e8ba0fcba18689a1294c3374d2ce53c90e2d733eb34e3ef5f1046bd131</x:v>
      </x:c>
      <x:c r="P62" s="2" t="str">
        <x:v>038a63660ef13a8f4d1ea28fd35c4842b75e12f6ea1e7295e926d7c2db66abfc</x:v>
      </x:c>
      <x:c r="Q62" s="2"/>
    </x:row>
    <x:row r="63" ht="24" customHeight="1">
      <x:c r="A63" s="2" t="str">
        <x:v>完整资源包</x:v>
      </x:c>
      <x:c r="B63" s="2" t="str">
        <x:v>7z-ppmd-9</x:v>
      </x:c>
      <x:c r="C63" s="10" t="n">
        <x:v>1</x:v>
      </x:c>
      <x:c r="D63" s="10" t="str">
        <x:v>ok</x:v>
      </x:c>
      <x:c r="E63" s="8" t="n">
        <x:v>167312523</x:v>
      </x:c>
      <x:c r="F63" s="8" t="n">
        <x:v>167342080</x:v>
      </x:c>
      <x:c r="G63" s="8" t="n">
        <x:v>169175545</x:v>
      </x:c>
      <x:c r="H63" s="9" t="n">
        <x:v>121.933944666</x:v>
      </x:c>
      <x:c r="I63" s="9" t="n">
        <x:v>126.7526374580001</x:v>
      </x:c>
      <x:c r="J63" s="8" t="n">
        <x:v>272777216</x:v>
      </x:c>
      <x:c r="K63" s="8" t="n">
        <x:v>272875520</x:v>
      </x:c>
      <x:c r="L63" s="10" t="n">
        <x:v>30</x:v>
      </x:c>
      <x:c r="M63" s="10" t="n">
        <x:v>30</x:v>
      </x:c>
      <x:c r="N63" s="9" t="n">
        <x:v>127.02401041699989</x:v>
      </x:c>
      <x:c r="O63" s="2" t="str">
        <x:v>688bf36f041e19acada7f268f30db7fcf96ab625079cff0b240d0b850ca91ff3</x:v>
      </x:c>
      <x:c r="P63" s="2" t="str">
        <x:v>038a63660ef13a8f4d1ea28fd35c4842b75e12f6ea1e7295e926d7c2db66abfc</x:v>
      </x:c>
      <x:c r="Q63" s="2"/>
    </x:row>
    <x:row r="64" ht="24" customHeight="1">
      <x:c r="A64" s="2" t="str">
        <x:v>完整资源包</x:v>
      </x:c>
      <x:c r="B64" s="2" t="str">
        <x:v>zpaq-5</x:v>
      </x:c>
      <x:c r="C64" s="10" t="n">
        <x:v>1</x:v>
      </x:c>
      <x:c r="D64" s="10" t="str">
        <x:v>timeout</x:v>
      </x:c>
      <x:c r="E64" s="8" t="n">
        <x:v>167312523</x:v>
      </x:c>
      <x:c r="F64" s="8" t="n">
        <x:v>167342080</x:v>
      </x:c>
      <x:c r="G64" s="8"/>
      <x:c r="H64" s="9" t="n">
        <x:v>300.007184542</x:v>
      </x:c>
      <x:c r="I64" s="9"/>
      <x:c r="J64" s="8"/>
      <x:c r="K64" s="8"/>
      <x:c r="L64" s="10" t="n">
        <x:v>0</x:v>
      </x:c>
      <x:c r="M64" s="10" t="n">
        <x:v>30</x:v>
      </x:c>
      <x:c r="N64" s="9"/>
      <x:c r="O64" s="2"/>
      <x:c r="P64" s="2" t="str">
        <x:v>038a63660ef13a8f4d1ea28fd35c4842b75e12f6ea1e7295e926d7c2db66abfc</x:v>
      </x:c>
      <x:c r="Q64" s="2"/>
    </x:row>
    <x:row r="65" ht="24" customHeight="1">
      <x:c r="A65" s="2" t="str">
        <x:v>图像</x:v>
      </x:c>
      <x:c r="B65" s="2" t="str">
        <x:v>gzip-9</x:v>
      </x:c>
      <x:c r="C65" s="10" t="n">
        <x:v>2</x:v>
      </x:c>
      <x:c r="D65" s="10" t="str">
        <x:v>ok</x:v>
      </x:c>
      <x:c r="E65" s="8" t="n">
        <x:v>37898255</x:v>
      </x:c>
      <x:c r="F65" s="8" t="n">
        <x:v>37918720</x:v>
      </x:c>
      <x:c r="G65" s="8" t="n">
        <x:v>37031307</x:v>
      </x:c>
      <x:c r="H65" s="9" t="n">
        <x:v>0.8116581249998944</x:v>
      </x:c>
      <x:c r="I65" s="9" t="n">
        <x:v>0.08432791700010966</x:v>
      </x:c>
      <x:c r="J65" s="8" t="n">
        <x:v>1507328</x:v>
      </x:c>
      <x:c r="K65" s="8" t="n">
        <x:v>1261568</x:v>
      </x:c>
      <x:c r="L65" s="10" t="n">
        <x:v>17</x:v>
      </x:c>
      <x:c r="M65" s="10" t="n">
        <x:v>17</x:v>
      </x:c>
      <x:c r="N65" s="9" t="n">
        <x:v>0.14336279200006175</x:v>
      </x:c>
      <x:c r="O65" s="2" t="str">
        <x:v>ad847fe70d3e137b5e8387fda98b77a9a48ef433e1215c008ca6bf8b9065bede</x:v>
      </x:c>
      <x:c r="P65" s="2" t="str">
        <x:v>4b809aec9fc7bd2ca3b4f76e7d7493eb849d74992788c57482d3cc50ba6494ca</x:v>
      </x:c>
      <x:c r="Q65" s="2"/>
    </x:row>
    <x:row r="66" ht="24" customHeight="1">
      <x:c r="A66" s="2" t="str">
        <x:v>图像</x:v>
      </x:c>
      <x:c r="B66" s="2" t="str">
        <x:v>bzip2-9</x:v>
      </x:c>
      <x:c r="C66" s="10" t="n">
        <x:v>2</x:v>
      </x:c>
      <x:c r="D66" s="10" t="str">
        <x:v>ok</x:v>
      </x:c>
      <x:c r="E66" s="8" t="n">
        <x:v>37898255</x:v>
      </x:c>
      <x:c r="F66" s="8" t="n">
        <x:v>37918720</x:v>
      </x:c>
      <x:c r="G66" s="8" t="n">
        <x:v>37066252</x:v>
      </x:c>
      <x:c r="H66" s="9" t="n">
        <x:v>2.9954642080001577</x:v>
      </x:c>
      <x:c r="I66" s="9" t="n">
        <x:v>1.4690136669998992</x:v>
      </x:c>
      <x:c r="J66" s="8" t="n">
        <x:v>7815168</x:v>
      </x:c>
      <x:c r="K66" s="8" t="n">
        <x:v>4800512</x:v>
      </x:c>
      <x:c r="L66" s="10" t="n">
        <x:v>17</x:v>
      </x:c>
      <x:c r="M66" s="10" t="n">
        <x:v>17</x:v>
      </x:c>
      <x:c r="N66" s="9" t="n">
        <x:v>1.5281340409999302</x:v>
      </x:c>
      <x:c r="O66" s="2" t="str">
        <x:v>a5de24d4e311a80a2556969c1cec433d6ef5639c3b7f1a953356e0a294d7d137</x:v>
      </x:c>
      <x:c r="P66" s="2" t="str">
        <x:v>4b809aec9fc7bd2ca3b4f76e7d7493eb849d74992788c57482d3cc50ba6494ca</x:v>
      </x:c>
      <x:c r="Q66" s="2"/>
    </x:row>
    <x:row r="67" ht="24" customHeight="1">
      <x:c r="A67" s="2" t="str">
        <x:v>图像</x:v>
      </x:c>
      <x:c r="B67" s="2" t="str">
        <x:v>xz-9e</x:v>
      </x:c>
      <x:c r="C67" s="10" t="n">
        <x:v>2</x:v>
      </x:c>
      <x:c r="D67" s="10" t="str">
        <x:v>ok</x:v>
      </x:c>
      <x:c r="E67" s="8" t="n">
        <x:v>37898255</x:v>
      </x:c>
      <x:c r="F67" s="8" t="n">
        <x:v>37918720</x:v>
      </x:c>
      <x:c r="G67" s="8" t="n">
        <x:v>36888124</x:v>
      </x:c>
      <x:c r="H67" s="9" t="n">
        <x:v>10.281840500000044</x:v>
      </x:c>
      <x:c r="I67" s="9" t="n">
        <x:v>0.7604077080000025</x:v>
      </x:c>
      <x:c r="J67" s="8" t="n">
        <x:v>411058176</x:v>
      </x:c>
      <x:c r="K67" s="8" t="n">
        <x:v>39960576</x:v>
      </x:c>
      <x:c r="L67" s="10" t="n">
        <x:v>17</x:v>
      </x:c>
      <x:c r="M67" s="10" t="n">
        <x:v>17</x:v>
      </x:c>
      <x:c r="N67" s="9" t="n">
        <x:v>0.8195380409999871</x:v>
      </x:c>
      <x:c r="O67" s="2" t="str">
        <x:v>cf2f526781f4620e3830aca84fccb765892d6620029cce748dd46bc1de09499d</x:v>
      </x:c>
      <x:c r="P67" s="2" t="str">
        <x:v>4b809aec9fc7bd2ca3b4f76e7d7493eb849d74992788c57482d3cc50ba6494ca</x:v>
      </x:c>
      <x:c r="Q67" s="2"/>
    </x:row>
    <x:row r="68" ht="24" customHeight="1">
      <x:c r="A68" s="2" t="str">
        <x:v>图像</x:v>
      </x:c>
      <x:c r="B68" s="2" t="str">
        <x:v>zstd-3</x:v>
      </x:c>
      <x:c r="C68" s="10" t="n">
        <x:v>2</x:v>
      </x:c>
      <x:c r="D68" s="10" t="str">
        <x:v>ok</x:v>
      </x:c>
      <x:c r="E68" s="8" t="n">
        <x:v>37898255</x:v>
      </x:c>
      <x:c r="F68" s="8" t="n">
        <x:v>37918720</x:v>
      </x:c>
      <x:c r="G68" s="8" t="n">
        <x:v>37146562</x:v>
      </x:c>
      <x:c r="H68" s="9" t="n">
        <x:v>0.08909799999992174</x:v>
      </x:c>
      <x:c r="I68" s="9" t="n">
        <x:v>0.024374458000011145</x:v>
      </x:c>
      <x:c r="J68" s="8" t="n">
        <x:v>7602176</x:v>
      </x:c>
      <x:c r="K68" s="8" t="n">
        <x:v>7438336</x:v>
      </x:c>
      <x:c r="L68" s="10" t="n">
        <x:v>17</x:v>
      </x:c>
      <x:c r="M68" s="10" t="n">
        <x:v>17</x:v>
      </x:c>
      <x:c r="N68" s="9" t="n">
        <x:v>0.08381475000010141</x:v>
      </x:c>
      <x:c r="O68" s="2" t="str">
        <x:v>e9aaf954ed868a520d6ff2b4d27679a0d9196c31a2158c62e301e2726da39666</x:v>
      </x:c>
      <x:c r="P68" s="2" t="str">
        <x:v>4b809aec9fc7bd2ca3b4f76e7d7493eb849d74992788c57482d3cc50ba6494ca</x:v>
      </x:c>
      <x:c r="Q68" s="2"/>
    </x:row>
    <x:row r="69" ht="24" customHeight="1">
      <x:c r="A69" s="2" t="str">
        <x:v>图像</x:v>
      </x:c>
      <x:c r="B69" s="2" t="str">
        <x:v>zstd-19</x:v>
      </x:c>
      <x:c r="C69" s="10" t="n">
        <x:v>2</x:v>
      </x:c>
      <x:c r="D69" s="10" t="str">
        <x:v>ok</x:v>
      </x:c>
      <x:c r="E69" s="8" t="n">
        <x:v>37898255</x:v>
      </x:c>
      <x:c r="F69" s="8" t="n">
        <x:v>37918720</x:v>
      </x:c>
      <x:c r="G69" s="8" t="n">
        <x:v>36834042</x:v>
      </x:c>
      <x:c r="H69" s="9" t="n">
        <x:v>5.5554081660000065</x:v>
      </x:c>
      <x:c r="I69" s="9" t="n">
        <x:v>0.03729425000005904</x:v>
      </x:c>
      <x:c r="J69" s="8" t="n">
        <x:v>97107968</x:v>
      </x:c>
      <x:c r="K69" s="8" t="n">
        <x:v>13746176</x:v>
      </x:c>
      <x:c r="L69" s="10" t="n">
        <x:v>17</x:v>
      </x:c>
      <x:c r="M69" s="10" t="n">
        <x:v>17</x:v>
      </x:c>
      <x:c r="N69" s="9" t="n">
        <x:v>0.09954199999992852</x:v>
      </x:c>
      <x:c r="O69" s="2" t="str">
        <x:v>d64cc1b3d64232abbeafaa2f301ad5e101499689d49c62805b07332dc6692855</x:v>
      </x:c>
      <x:c r="P69" s="2" t="str">
        <x:v>4b809aec9fc7bd2ca3b4f76e7d7493eb849d74992788c57482d3cc50ba6494ca</x:v>
      </x:c>
      <x:c r="Q69" s="2"/>
    </x:row>
    <x:row r="70" ht="24" customHeight="1">
      <x:c r="A70" s="2" t="str">
        <x:v>图像</x:v>
      </x:c>
      <x:c r="B70" s="2" t="str">
        <x:v>zstd-22</x:v>
      </x:c>
      <x:c r="C70" s="10" t="n">
        <x:v>2</x:v>
      </x:c>
      <x:c r="D70" s="10" t="str">
        <x:v>ok</x:v>
      </x:c>
      <x:c r="E70" s="8" t="n">
        <x:v>37898255</x:v>
      </x:c>
      <x:c r="F70" s="8" t="n">
        <x:v>37918720</x:v>
      </x:c>
      <x:c r="G70" s="8" t="n">
        <x:v>36833562</x:v>
      </x:c>
      <x:c r="H70" s="9" t="n">
        <x:v>3.8489617079999334</x:v>
      </x:c>
      <x:c r="I70" s="9" t="n">
        <x:v>0.04838087500002075</x:v>
      </x:c>
      <x:c r="J70" s="8" t="n">
        <x:v>667992064</x:v>
      </x:c>
      <x:c r="K70" s="8" t="n">
        <x:v>43024384</x:v>
      </x:c>
      <x:c r="L70" s="10" t="n">
        <x:v>17</x:v>
      </x:c>
      <x:c r="M70" s="10" t="n">
        <x:v>17</x:v>
      </x:c>
      <x:c r="N70" s="9" t="n">
        <x:v>0.10865775000002031</x:v>
      </x:c>
      <x:c r="O70" s="2" t="str">
        <x:v>93f046365a855c787260f221e6294ea98880090a61ec829c76e7d1babb9caf72</x:v>
      </x:c>
      <x:c r="P70" s="2" t="str">
        <x:v>4b809aec9fc7bd2ca3b4f76e7d7493eb849d74992788c57482d3cc50ba6494ca</x:v>
      </x:c>
      <x:c r="Q70" s="2"/>
    </x:row>
    <x:row r="71" ht="24" customHeight="1">
      <x:c r="A71" s="2" t="str">
        <x:v>图像</x:v>
      </x:c>
      <x:c r="B71" s="2" t="str">
        <x:v>brotli-6</x:v>
      </x:c>
      <x:c r="C71" s="10" t="n">
        <x:v>2</x:v>
      </x:c>
      <x:c r="D71" s="10" t="str">
        <x:v>ok</x:v>
      </x:c>
      <x:c r="E71" s="8" t="n">
        <x:v>37898255</x:v>
      </x:c>
      <x:c r="F71" s="8" t="n">
        <x:v>37918720</x:v>
      </x:c>
      <x:c r="G71" s="8" t="n">
        <x:v>36856478</x:v>
      </x:c>
      <x:c r="H71" s="9" t="n">
        <x:v>0.26237366700001985</x:v>
      </x:c>
      <x:c r="I71" s="9" t="n">
        <x:v>0.13786399999980858</x:v>
      </x:c>
      <x:c r="J71" s="8" t="n">
        <x:v>51871744</x:v>
      </x:c>
      <x:c r="K71" s="8" t="n">
        <x:v>31506432</x:v>
      </x:c>
      <x:c r="L71" s="10" t="n">
        <x:v>17</x:v>
      </x:c>
      <x:c r="M71" s="10" t="n">
        <x:v>17</x:v>
      </x:c>
      <x:c r="N71" s="9" t="n">
        <x:v>0.19710249999980078</x:v>
      </x:c>
      <x:c r="O71" s="2" t="str">
        <x:v>f36f580acce76f6d8507c6266c9858243c2f64616d07e56b5253b6da44433f11</x:v>
      </x:c>
      <x:c r="P71" s="2" t="str">
        <x:v>4b809aec9fc7bd2ca3b4f76e7d7493eb849d74992788c57482d3cc50ba6494ca</x:v>
      </x:c>
      <x:c r="Q71" s="2"/>
    </x:row>
    <x:row r="72" ht="24" customHeight="1">
      <x:c r="A72" s="2" t="str">
        <x:v>图像</x:v>
      </x:c>
      <x:c r="B72" s="2" t="str">
        <x:v>brotli-11</x:v>
      </x:c>
      <x:c r="C72" s="10" t="n">
        <x:v>2</x:v>
      </x:c>
      <x:c r="D72" s="10" t="str">
        <x:v>ok</x:v>
      </x:c>
      <x:c r="E72" s="8" t="n">
        <x:v>37898255</x:v>
      </x:c>
      <x:c r="F72" s="8" t="n">
        <x:v>37918720</x:v>
      </x:c>
      <x:c r="G72" s="8" t="n">
        <x:v>36695582</x:v>
      </x:c>
      <x:c r="H72" s="9" t="n">
        <x:v>77.39623095799993</x:v>
      </x:c>
      <x:c r="I72" s="9" t="n">
        <x:v>0.23701154199989105</x:v>
      </x:c>
      <x:c r="J72" s="8" t="n">
        <x:v>232357888</x:v>
      </x:c>
      <x:c r="K72" s="8" t="n">
        <x:v>29622272</x:v>
      </x:c>
      <x:c r="L72" s="10" t="n">
        <x:v>17</x:v>
      </x:c>
      <x:c r="M72" s="10" t="n">
        <x:v>17</x:v>
      </x:c>
      <x:c r="N72" s="9" t="n">
        <x:v>0.29646808300003613</x:v>
      </x:c>
      <x:c r="O72" s="2" t="str">
        <x:v>59117617e6eb4fbcc1f2ed0cac4d11e03f193a9fd826f35e0e36fd849cc8eab1</x:v>
      </x:c>
      <x:c r="P72" s="2" t="str">
        <x:v>4b809aec9fc7bd2ca3b4f76e7d7493eb849d74992788c57482d3cc50ba6494ca</x:v>
      </x:c>
      <x:c r="Q72" s="2"/>
    </x:row>
    <x:row r="73" ht="24" customHeight="1">
      <x:c r="A73" s="2" t="str">
        <x:v>图像</x:v>
      </x:c>
      <x:c r="B73" s="2" t="str">
        <x:v>7z-lzma2-9</x:v>
      </x:c>
      <x:c r="C73" s="10" t="n">
        <x:v>2</x:v>
      </x:c>
      <x:c r="D73" s="10" t="str">
        <x:v>ok</x:v>
      </x:c>
      <x:c r="E73" s="8" t="n">
        <x:v>37898255</x:v>
      </x:c>
      <x:c r="F73" s="8" t="n">
        <x:v>37918720</x:v>
      </x:c>
      <x:c r="G73" s="8" t="n">
        <x:v>36892261</x:v>
      </x:c>
      <x:c r="H73" s="9" t="n">
        <x:v>8.217116833000091</x:v>
      </x:c>
      <x:c r="I73" s="9" t="n">
        <x:v>0.5295305409999855</x:v>
      </x:c>
      <x:c r="J73" s="8" t="n">
        <x:v>411762688</x:v>
      </x:c>
      <x:c r="K73" s="8" t="n">
        <x:v>80707584</x:v>
      </x:c>
      <x:c r="L73" s="10" t="n">
        <x:v>17</x:v>
      </x:c>
      <x:c r="M73" s="10" t="n">
        <x:v>17</x:v>
      </x:c>
      <x:c r="N73" s="9" t="n">
        <x:v>0.5887253329999567</x:v>
      </x:c>
      <x:c r="O73" s="2" t="str">
        <x:v>891a8ae3c0edd8a2a007016f6b8f433e322216387c395b528a17a81502b1576f</x:v>
      </x:c>
      <x:c r="P73" s="2" t="str">
        <x:v>4b809aec9fc7bd2ca3b4f76e7d7493eb849d74992788c57482d3cc50ba6494ca</x:v>
      </x:c>
      <x:c r="Q73" s="2"/>
    </x:row>
    <x:row r="74" ht="24" customHeight="1">
      <x:c r="A74" s="2" t="str">
        <x:v>图像</x:v>
      </x:c>
      <x:c r="B74" s="2" t="str">
        <x:v>7z-ppmd-9</x:v>
      </x:c>
      <x:c r="C74" s="10" t="n">
        <x:v>2</x:v>
      </x:c>
      <x:c r="D74" s="10" t="str">
        <x:v>ok</x:v>
      </x:c>
      <x:c r="E74" s="8" t="n">
        <x:v>37898255</x:v>
      </x:c>
      <x:c r="F74" s="8" t="n">
        <x:v>37918720</x:v>
      </x:c>
      <x:c r="G74" s="8" t="n">
        <x:v>37268394</x:v>
      </x:c>
      <x:c r="H74" s="9" t="n">
        <x:v>18.555203665999898</x:v>
      </x:c>
      <x:c r="I74" s="9" t="n">
        <x:v>19.79613712499986</x:v>
      </x:c>
      <x:c r="J74" s="8" t="n">
        <x:v>273842176</x:v>
      </x:c>
      <x:c r="K74" s="8" t="n">
        <x:v>272908288</x:v>
      </x:c>
      <x:c r="L74" s="10" t="n">
        <x:v>17</x:v>
      </x:c>
      <x:c r="M74" s="10" t="n">
        <x:v>17</x:v>
      </x:c>
      <x:c r="N74" s="9" t="n">
        <x:v>19.859468791999916</x:v>
      </x:c>
      <x:c r="O74" s="2" t="str">
        <x:v>1e35666f8923039216d934c3ad3afb2dd996a882425ce4d34222930c2ec80374</x:v>
      </x:c>
      <x:c r="P74" s="2" t="str">
        <x:v>4b809aec9fc7bd2ca3b4f76e7d7493eb849d74992788c57482d3cc50ba6494ca</x:v>
      </x:c>
      <x:c r="Q74" s="2"/>
    </x:row>
    <x:row r="75" ht="24" customHeight="1">
      <x:c r="A75" s="2" t="str">
        <x:v>图像</x:v>
      </x:c>
      <x:c r="B75" s="2" t="str">
        <x:v>zpaq-5</x:v>
      </x:c>
      <x:c r="C75" s="10" t="n">
        <x:v>2</x:v>
      </x:c>
      <x:c r="D75" s="10" t="str">
        <x:v>ok</x:v>
      </x:c>
      <x:c r="E75" s="8" t="n">
        <x:v>37898255</x:v>
      </x:c>
      <x:c r="F75" s="8" t="n">
        <x:v>37918720</x:v>
      </x:c>
      <x:c r="G75" s="8" t="n">
        <x:v>36402344</x:v>
      </x:c>
      <x:c r="H75" s="9" t="n">
        <x:v>134.12137566700017</x:v>
      </x:c>
      <x:c r="I75" s="9" t="n">
        <x:v>137.975651125</x:v>
      </x:c>
      <x:c r="J75" s="8" t="n">
        <x:v>779304960</x:v>
      </x:c>
      <x:c r="K75" s="8" t="n">
        <x:v>805306368</x:v>
      </x:c>
      <x:c r="L75" s="10" t="n">
        <x:v>17</x:v>
      </x:c>
      <x:c r="M75" s="10" t="n">
        <x:v>17</x:v>
      </x:c>
      <x:c r="N75" s="9" t="n">
        <x:v>138.03962754100007</x:v>
      </x:c>
      <x:c r="O75" s="2" t="str">
        <x:v>b6e984055faf4f762c5f04bd68a10d1439c8f0482e3462015590db1a637eb8d5</x:v>
      </x:c>
      <x:c r="P75" s="2" t="str">
        <x:v>4b809aec9fc7bd2ca3b4f76e7d7493eb849d74992788c57482d3cc50ba6494ca</x:v>
      </x:c>
      <x:c r="Q75" s="2"/>
    </x:row>
    <x:row r="76" ht="24" customHeight="1">
      <x:c r="A76" s="2" t="str">
        <x:v>图像</x:v>
      </x:c>
      <x:c r="B76" s="2" t="str">
        <x:v>store</x:v>
      </x:c>
      <x:c r="C76" s="10" t="n">
        <x:v>2</x:v>
      </x:c>
      <x:c r="D76" s="10" t="str">
        <x:v>ok</x:v>
      </x:c>
      <x:c r="E76" s="8" t="n">
        <x:v>37898255</x:v>
      </x:c>
      <x:c r="F76" s="8" t="n">
        <x:v>37918720</x:v>
      </x:c>
      <x:c r="G76" s="8" t="n">
        <x:v>37918720</x:v>
      </x:c>
      <x:c r="H76" s="9" t="n">
        <x:v>0.04513904200007346</x:v>
      </x:c>
      <x:c r="I76" s="9" t="n">
        <x:v>0.045014832999868304</x:v>
      </x:c>
      <x:c r="J76" s="8" t="n">
        <x:v>2113536</x:v>
      </x:c>
      <x:c r="K76" s="8" t="n">
        <x:v>2113536</x:v>
      </x:c>
      <x:c r="L76" s="10" t="n">
        <x:v>17</x:v>
      </x:c>
      <x:c r="M76" s="10" t="n">
        <x:v>17</x:v>
      </x:c>
      <x:c r="N76" s="9" t="n">
        <x:v>0.10524037499999395</x:v>
      </x:c>
      <x:c r="O76" s="2" t="str">
        <x:v>4b809aec9fc7bd2ca3b4f76e7d7493eb849d74992788c57482d3cc50ba6494ca</x:v>
      </x:c>
      <x:c r="P76" s="2" t="str">
        <x:v>4b809aec9fc7bd2ca3b4f76e7d7493eb849d74992788c57482d3cc50ba6494ca</x:v>
      </x:c>
      <x:c r="Q76" s="2"/>
    </x:row>
    <x:row r="77" ht="24" customHeight="1">
      <x:c r="A77" s="2" t="str">
        <x:v>完整资源包</x:v>
      </x:c>
      <x:c r="B77" s="2" t="str">
        <x:v>gzip-9</x:v>
      </x:c>
      <x:c r="C77" s="10" t="n">
        <x:v>2</x:v>
      </x:c>
      <x:c r="D77" s="10" t="str">
        <x:v>ok</x:v>
      </x:c>
      <x:c r="E77" s="8" t="n">
        <x:v>167312523</x:v>
      </x:c>
      <x:c r="F77" s="8" t="n">
        <x:v>167342080</x:v>
      </x:c>
      <x:c r="G77" s="8" t="n">
        <x:v>166360668</x:v>
      </x:c>
      <x:c r="H77" s="9" t="n">
        <x:v>3.1295317500000692</x:v>
      </x:c>
      <x:c r="I77" s="9" t="n">
        <x:v>0.13546741699997256</x:v>
      </x:c>
      <x:c r="J77" s="8" t="n">
        <x:v>1490944</x:v>
      </x:c>
      <x:c r="K77" s="8" t="n">
        <x:v>1261568</x:v>
      </x:c>
      <x:c r="L77" s="10" t="n">
        <x:v>30</x:v>
      </x:c>
      <x:c r="M77" s="10" t="n">
        <x:v>30</x:v>
      </x:c>
      <x:c r="N77" s="9" t="n">
        <x:v>0.3851666660000319</x:v>
      </x:c>
      <x:c r="O77" s="2" t="str">
        <x:v>c37c69236c20df08fb2628e2ce2146b1a128f1425c042483b1d6a4c9e69ce10e</x:v>
      </x:c>
      <x:c r="P77" s="2" t="str">
        <x:v>038a63660ef13a8f4d1ea28fd35c4842b75e12f6ea1e7295e926d7c2db66abfc</x:v>
      </x:c>
      <x:c r="Q77" s="2"/>
    </x:row>
    <x:row r="78" ht="24" customHeight="1">
      <x:c r="A78" s="2" t="str">
        <x:v>完整资源包</x:v>
      </x:c>
      <x:c r="B78" s="2" t="str">
        <x:v>bzip2-9</x:v>
      </x:c>
      <x:c r="C78" s="10" t="n">
        <x:v>2</x:v>
      </x:c>
      <x:c r="D78" s="10" t="str">
        <x:v>ok</x:v>
      </x:c>
      <x:c r="E78" s="8" t="n">
        <x:v>167312523</x:v>
      </x:c>
      <x:c r="F78" s="8" t="n">
        <x:v>167342080</x:v>
      </x:c>
      <x:c r="G78" s="8" t="n">
        <x:v>166960408</x:v>
      </x:c>
      <x:c r="H78" s="9" t="n">
        <x:v>13.682275375000017</x:v>
      </x:c>
      <x:c r="I78" s="9" t="n">
        <x:v>6.53970712499995</x:v>
      </x:c>
      <x:c r="J78" s="8" t="n">
        <x:v>7815168</x:v>
      </x:c>
      <x:c r="K78" s="8" t="n">
        <x:v>4800512</x:v>
      </x:c>
      <x:c r="L78" s="10" t="n">
        <x:v>30</x:v>
      </x:c>
      <x:c r="M78" s="10" t="n">
        <x:v>30</x:v>
      </x:c>
      <x:c r="N78" s="9" t="n">
        <x:v>6.792515832999925</x:v>
      </x:c>
      <x:c r="O78" s="2" t="str">
        <x:v>efa50db8710933216301f84c3ba7c516db928c783b9b6e3b250e260de8bb1887</x:v>
      </x:c>
      <x:c r="P78" s="2" t="str">
        <x:v>038a63660ef13a8f4d1ea28fd35c4842b75e12f6ea1e7295e926d7c2db66abfc</x:v>
      </x:c>
      <x:c r="Q78" s="2"/>
    </x:row>
    <x:row r="79" ht="24" customHeight="1">
      <x:c r="A79" s="2" t="str">
        <x:v>完整资源包</x:v>
      </x:c>
      <x:c r="B79" s="2" t="str">
        <x:v>xz-9e</x:v>
      </x:c>
      <x:c r="C79" s="10" t="n">
        <x:v>2</x:v>
      </x:c>
      <x:c r="D79" s="10" t="str">
        <x:v>ok</x:v>
      </x:c>
      <x:c r="E79" s="8" t="n">
        <x:v>167312523</x:v>
      </x:c>
      <x:c r="F79" s="8" t="n">
        <x:v>167342080</x:v>
      </x:c>
      <x:c r="G79" s="8" t="n">
        <x:v>166173008</x:v>
      </x:c>
      <x:c r="H79" s="9" t="n">
        <x:v>70.81124458299996</x:v>
      </x:c>
      <x:c r="I79" s="9" t="n">
        <x:v>1.0774236669999482</x:v>
      </x:c>
      <x:c r="J79" s="8" t="n">
        <x:v>706838528</x:v>
      </x:c>
      <x:c r="K79" s="8" t="n">
        <x:v>69173248</x:v>
      </x:c>
      <x:c r="L79" s="10" t="n">
        <x:v>30</x:v>
      </x:c>
      <x:c r="M79" s="10" t="n">
        <x:v>30</x:v>
      </x:c>
      <x:c r="N79" s="9" t="n">
        <x:v>1.3306337920000715</x:v>
      </x:c>
      <x:c r="O79" s="2" t="str">
        <x:v>b68a5aa2de1a3028737cda86f31e01771b736f4521573136055d668fa62a3a3d</x:v>
      </x:c>
      <x:c r="P79" s="2" t="str">
        <x:v>038a63660ef13a8f4d1ea28fd35c4842b75e12f6ea1e7295e926d7c2db66abfc</x:v>
      </x:c>
      <x:c r="Q79" s="2"/>
    </x:row>
    <x:row r="80" ht="24" customHeight="1">
      <x:c r="A80" s="2" t="str">
        <x:v>完整资源包</x:v>
      </x:c>
      <x:c r="B80" s="2" t="str">
        <x:v>zstd-3</x:v>
      </x:c>
      <x:c r="C80" s="10" t="n">
        <x:v>2</x:v>
      </x:c>
      <x:c r="D80" s="10" t="str">
        <x:v>ok</x:v>
      </x:c>
      <x:c r="E80" s="8" t="n">
        <x:v>167312523</x:v>
      </x:c>
      <x:c r="F80" s="8" t="n">
        <x:v>167342080</x:v>
      </x:c>
      <x:c r="G80" s="8" t="n">
        <x:v>166492331</x:v>
      </x:c>
      <x:c r="H80" s="9" t="n">
        <x:v>0.13712666700007503</x:v>
      </x:c>
      <x:c r="I80" s="9" t="n">
        <x:v>0.08843241699992177</x:v>
      </x:c>
      <x:c r="J80" s="8" t="n">
        <x:v>8192000</x:v>
      </x:c>
      <x:c r="K80" s="8" t="n">
        <x:v>7421952</x:v>
      </x:c>
      <x:c r="L80" s="10" t="n">
        <x:v>30</x:v>
      </x:c>
      <x:c r="M80" s="10" t="n">
        <x:v>30</x:v>
      </x:c>
      <x:c r="N80" s="9" t="n">
        <x:v>0.33924675000002935</x:v>
      </x:c>
      <x:c r="O80" s="2" t="str">
        <x:v>b5441947223b14e54529c5451261761a3ba0532c2a5538cfab9f7f98e37998b7</x:v>
      </x:c>
      <x:c r="P80" s="2" t="str">
        <x:v>038a63660ef13a8f4d1ea28fd35c4842b75e12f6ea1e7295e926d7c2db66abfc</x:v>
      </x:c>
      <x:c r="Q80" s="2"/>
    </x:row>
    <x:row r="81" ht="24" customHeight="1">
      <x:c r="A81" s="2" t="str">
        <x:v>完整资源包</x:v>
      </x:c>
      <x:c r="B81" s="2" t="str">
        <x:v>zstd-19</x:v>
      </x:c>
      <x:c r="C81" s="10" t="n">
        <x:v>2</x:v>
      </x:c>
      <x:c r="D81" s="10" t="str">
        <x:v>ok</x:v>
      </x:c>
      <x:c r="E81" s="8" t="n">
        <x:v>167312523</x:v>
      </x:c>
      <x:c r="F81" s="8" t="n">
        <x:v>167342080</x:v>
      </x:c>
      <x:c r="G81" s="8" t="n">
        <x:v>166097286</x:v>
      </x:c>
      <x:c r="H81" s="9" t="n">
        <x:v>25.154008417000114</x:v>
      </x:c>
      <x:c r="I81" s="9" t="n">
        <x:v>0.07689600000003338</x:v>
      </x:c>
      <x:c r="J81" s="8" t="n">
        <x:v>97107968</x:v>
      </x:c>
      <x:c r="K81" s="8" t="n">
        <x:v>13762560</x:v>
      </x:c>
      <x:c r="L81" s="10" t="n">
        <x:v>30</x:v>
      </x:c>
      <x:c r="M81" s="10" t="n">
        <x:v>30</x:v>
      </x:c>
      <x:c r="N81" s="9" t="n">
        <x:v>0.3295690420000028</x:v>
      </x:c>
      <x:c r="O81" s="2" t="str">
        <x:v>14f57742f3e4274bbda5bcf453242f835b5dd5321b37effa453e0353e31d271c</x:v>
      </x:c>
      <x:c r="P81" s="2" t="str">
        <x:v>038a63660ef13a8f4d1ea28fd35c4842b75e12f6ea1e7295e926d7c2db66abfc</x:v>
      </x:c>
      <x:c r="Q81" s="2"/>
    </x:row>
    <x:row r="82" ht="24" customHeight="1">
      <x:c r="A82" s="2" t="str">
        <x:v>完整资源包</x:v>
      </x:c>
      <x:c r="B82" s="2" t="str">
        <x:v>zstd-22</x:v>
      </x:c>
      <x:c r="C82" s="10" t="n">
        <x:v>2</x:v>
      </x:c>
      <x:c r="D82" s="10" t="str">
        <x:v>ok</x:v>
      </x:c>
      <x:c r="E82" s="8" t="n">
        <x:v>167312523</x:v>
      </x:c>
      <x:c r="F82" s="8" t="n">
        <x:v>167342080</x:v>
      </x:c>
      <x:c r="G82" s="8" t="n">
        <x:v>166091741</x:v>
      </x:c>
      <x:c r="H82" s="9" t="n">
        <x:v>32.205863000000136</x:v>
      </x:c>
      <x:c r="I82" s="9" t="n">
        <x:v>0.08836750000000393</x:v>
      </x:c>
      <x:c r="J82" s="8" t="n">
        <x:v>876544000</x:v>
      </x:c>
      <x:c r="K82" s="8" t="n">
        <x:v>139476992</x:v>
      </x:c>
      <x:c r="L82" s="10" t="n">
        <x:v>30</x:v>
      </x:c>
      <x:c r="M82" s="10" t="n">
        <x:v>30</x:v>
      </x:c>
      <x:c r="N82" s="9" t="n">
        <x:v>0.3518835830000171</x:v>
      </x:c>
      <x:c r="O82" s="2" t="str">
        <x:v>4c41a9e75651c0db2a627f77652c9ed3334ffa7480ee3236b867901a57658f4d</x:v>
      </x:c>
      <x:c r="P82" s="2" t="str">
        <x:v>038a63660ef13a8f4d1ea28fd35c4842b75e12f6ea1e7295e926d7c2db66abfc</x:v>
      </x:c>
      <x:c r="Q82" s="2"/>
    </x:row>
    <x:row r="83" ht="24" customHeight="1">
      <x:c r="A83" s="2" t="str">
        <x:v>完整资源包</x:v>
      </x:c>
      <x:c r="B83" s="2" t="str">
        <x:v>brotli-6</x:v>
      </x:c>
      <x:c r="C83" s="10" t="n">
        <x:v>2</x:v>
      </x:c>
      <x:c r="D83" s="10" t="str">
        <x:v>ok</x:v>
      </x:c>
      <x:c r="E83" s="8" t="n">
        <x:v>167312523</x:v>
      </x:c>
      <x:c r="F83" s="8" t="n">
        <x:v>167342080</x:v>
      </x:c>
      <x:c r="G83" s="8" t="n">
        <x:v>166246011</x:v>
      </x:c>
      <x:c r="H83" s="9" t="n">
        <x:v>0.5330782089999957</x:v>
      </x:c>
      <x:c r="I83" s="9" t="n">
        <x:v>0.1962972080000327</x:v>
      </x:c>
      <x:c r="J83" s="8" t="n">
        <x:v>57720832</x:v>
      </x:c>
      <x:c r="K83" s="8" t="n">
        <x:v>28835840</x:v>
      </x:c>
      <x:c r="L83" s="10" t="n">
        <x:v>30</x:v>
      </x:c>
      <x:c r="M83" s="10" t="n">
        <x:v>30</x:v>
      </x:c>
      <x:c r="N83" s="9" t="n">
        <x:v>0.4487910830000601</x:v>
      </x:c>
      <x:c r="O83" s="2" t="str">
        <x:v>0e84132aa0a0332bdc50f84eab09db1237af516438555613d5c538877dcf68e1</x:v>
      </x:c>
      <x:c r="P83" s="2" t="str">
        <x:v>038a63660ef13a8f4d1ea28fd35c4842b75e12f6ea1e7295e926d7c2db66abfc</x:v>
      </x:c>
      <x:c r="Q83" s="2"/>
    </x:row>
    <x:row r="84" ht="24" customHeight="1">
      <x:c r="A84" s="2" t="str">
        <x:v>完整资源包</x:v>
      </x:c>
      <x:c r="B84" s="2" t="str">
        <x:v>brotli-11</x:v>
      </x:c>
      <x:c r="C84" s="10" t="n">
        <x:v>2</x:v>
      </x:c>
      <x:c r="D84" s="10" t="str">
        <x:v>ok</x:v>
      </x:c>
      <x:c r="E84" s="8" t="n">
        <x:v>167312523</x:v>
      </x:c>
      <x:c r="F84" s="8" t="n">
        <x:v>167342080</x:v>
      </x:c>
      <x:c r="G84" s="8" t="n">
        <x:v>166072291</x:v>
      </x:c>
      <x:c r="H84" s="9" t="n">
        <x:v>260.656963875</x:v>
      </x:c>
      <x:c r="I84" s="9" t="n">
        <x:v>0.3092817090000608</x:v>
      </x:c>
      <x:c r="J84" s="8" t="n">
        <x:v>220479488</x:v>
      </x:c>
      <x:c r="K84" s="8" t="n">
        <x:v>29655040</x:v>
      </x:c>
      <x:c r="L84" s="10" t="n">
        <x:v>30</x:v>
      </x:c>
      <x:c r="M84" s="10" t="n">
        <x:v>30</x:v>
      </x:c>
      <x:c r="N84" s="9" t="n">
        <x:v>0.5663509169999088</x:v>
      </x:c>
      <x:c r="O84" s="2" t="str">
        <x:v>004f8f11a4cfbd29b7ffecd233d257ff4ebcd1e77580da12f952c3f344a46a7e</x:v>
      </x:c>
      <x:c r="P84" s="2" t="str">
        <x:v>038a63660ef13a8f4d1ea28fd35c4842b75e12f6ea1e7295e926d7c2db66abfc</x:v>
      </x:c>
      <x:c r="Q84" s="2"/>
    </x:row>
    <x:row r="85" ht="24" customHeight="1">
      <x:c r="A85" s="2" t="str">
        <x:v>完整资源包</x:v>
      </x:c>
      <x:c r="B85" s="2" t="str">
        <x:v>7z-lzma2-9</x:v>
      </x:c>
      <x:c r="C85" s="10" t="n">
        <x:v>2</x:v>
      </x:c>
      <x:c r="D85" s="10" t="str">
        <x:v>ok</x:v>
      </x:c>
      <x:c r="E85" s="8" t="n">
        <x:v>167312523</x:v>
      </x:c>
      <x:c r="F85" s="8" t="n">
        <x:v>167342080</x:v>
      </x:c>
      <x:c r="G85" s="8" t="n">
        <x:v>166172180</x:v>
      </x:c>
      <x:c r="H85" s="9" t="n">
        <x:v>85.27601712500018</x:v>
      </x:c>
      <x:c r="I85" s="9" t="n">
        <x:v>0.6533510409999508</x:v>
      </x:c>
      <x:c r="J85" s="8" t="n">
        <x:v>1663926272</x:v>
      </x:c>
      <x:c r="K85" s="8" t="n">
        <x:v>347979776</x:v>
      </x:c>
      <x:c r="L85" s="10" t="n">
        <x:v>30</x:v>
      </x:c>
      <x:c r="M85" s="10" t="n">
        <x:v>30</x:v>
      </x:c>
      <x:c r="N85" s="9" t="n">
        <x:v>0.9202767499996298</x:v>
      </x:c>
      <x:c r="O85" s="2" t="str">
        <x:v>db3527e8ba0fcba18689a1294c3374d2ce53c90e2d733eb34e3ef5f1046bd131</x:v>
      </x:c>
      <x:c r="P85" s="2" t="str">
        <x:v>038a63660ef13a8f4d1ea28fd35c4842b75e12f6ea1e7295e926d7c2db66abfc</x:v>
      </x:c>
      <x:c r="Q85" s="2"/>
    </x:row>
    <x:row r="86" ht="24" customHeight="1">
      <x:c r="A86" s="2" t="str">
        <x:v>完整资源包</x:v>
      </x:c>
      <x:c r="B86" s="2" t="str">
        <x:v>7z-ppmd-9</x:v>
      </x:c>
      <x:c r="C86" s="10" t="n">
        <x:v>2</x:v>
      </x:c>
      <x:c r="D86" s="10" t="str">
        <x:v>ok</x:v>
      </x:c>
      <x:c r="E86" s="8" t="n">
        <x:v>167312523</x:v>
      </x:c>
      <x:c r="F86" s="8" t="n">
        <x:v>167342080</x:v>
      </x:c>
      <x:c r="G86" s="8" t="n">
        <x:v>169175545</x:v>
      </x:c>
      <x:c r="H86" s="9" t="n">
        <x:v>120.30773595900018</x:v>
      </x:c>
      <x:c r="I86" s="9" t="n">
        <x:v>125.42478149999988</x:v>
      </x:c>
      <x:c r="J86" s="8" t="n">
        <x:v>273825792</x:v>
      </x:c>
      <x:c r="K86" s="8" t="n">
        <x:v>272859136</x:v>
      </x:c>
      <x:c r="L86" s="10" t="n">
        <x:v>30</x:v>
      </x:c>
      <x:c r="M86" s="10" t="n">
        <x:v>30</x:v>
      </x:c>
      <x:c r="N86" s="9" t="n">
        <x:v>125.68607212500001</x:v>
      </x:c>
      <x:c r="O86" s="2" t="str">
        <x:v>688bf36f041e19acada7f268f30db7fcf96ab625079cff0b240d0b850ca91ff3</x:v>
      </x:c>
      <x:c r="P86" s="2" t="str">
        <x:v>038a63660ef13a8f4d1ea28fd35c4842b75e12f6ea1e7295e926d7c2db66abfc</x:v>
      </x:c>
      <x:c r="Q86" s="2"/>
    </x:row>
    <x:row r="87" ht="24" customHeight="1">
      <x:c r="A87" s="2" t="str">
        <x:v>完整资源包</x:v>
      </x:c>
      <x:c r="B87" s="2" t="str">
        <x:v>store</x:v>
      </x:c>
      <x:c r="C87" s="10" t="n">
        <x:v>2</x:v>
      </x:c>
      <x:c r="D87" s="10" t="str">
        <x:v>ok</x:v>
      </x:c>
      <x:c r="E87" s="8" t="n">
        <x:v>167312523</x:v>
      </x:c>
      <x:c r="F87" s="8" t="n">
        <x:v>167342080</x:v>
      </x:c>
      <x:c r="G87" s="8" t="n">
        <x:v>167342080</x:v>
      </x:c>
      <x:c r="H87" s="9" t="n">
        <x:v>0.08642091699994126</x:v>
      </x:c>
      <x:c r="I87" s="9" t="n">
        <x:v>0.07740108299958592</x:v>
      </x:c>
      <x:c r="J87" s="8" t="n">
        <x:v>2113536</x:v>
      </x:c>
      <x:c r="K87" s="8" t="n">
        <x:v>2113536</x:v>
      </x:c>
      <x:c r="L87" s="10" t="n">
        <x:v>30</x:v>
      </x:c>
      <x:c r="M87" s="10" t="n">
        <x:v>30</x:v>
      </x:c>
      <x:c r="N87" s="9" t="n">
        <x:v>0.3329593749999731</x:v>
      </x:c>
      <x:c r="O87" s="2" t="str">
        <x:v>038a63660ef13a8f4d1ea28fd35c4842b75e12f6ea1e7295e926d7c2db66abfc</x:v>
      </x:c>
      <x:c r="P87" s="2" t="str">
        <x:v>038a63660ef13a8f4d1ea28fd35c4842b75e12f6ea1e7295e926d7c2db66abfc</x:v>
      </x:c>
      <x:c r="Q87" s="2"/>
    </x:row>
    <x:row r="88" ht="24" customHeight="1">
      <x:c r="A88" s="2" t="str">
        <x:v>图像</x:v>
      </x:c>
      <x:c r="B88" s="2" t="str">
        <x:v>bzip2-9</x:v>
      </x:c>
      <x:c r="C88" s="10" t="n">
        <x:v>3</x:v>
      </x:c>
      <x:c r="D88" s="10" t="str">
        <x:v>ok</x:v>
      </x:c>
      <x:c r="E88" s="8" t="n">
        <x:v>37898255</x:v>
      </x:c>
      <x:c r="F88" s="8" t="n">
        <x:v>37918720</x:v>
      </x:c>
      <x:c r="G88" s="8" t="n">
        <x:v>37066252</x:v>
      </x:c>
      <x:c r="H88" s="9" t="n">
        <x:v>2.9954765829997996</x:v>
      </x:c>
      <x:c r="I88" s="9" t="n">
        <x:v>1.5203782090002278</x:v>
      </x:c>
      <x:c r="J88" s="8" t="n">
        <x:v>7815168</x:v>
      </x:c>
      <x:c r="K88" s="8" t="n">
        <x:v>4800512</x:v>
      </x:c>
      <x:c r="L88" s="10" t="n">
        <x:v>17</x:v>
      </x:c>
      <x:c r="M88" s="10" t="n">
        <x:v>17</x:v>
      </x:c>
      <x:c r="N88" s="9" t="n">
        <x:v>1.587149416000102</x:v>
      </x:c>
      <x:c r="O88" s="2" t="str">
        <x:v>a5de24d4e311a80a2556969c1cec433d6ef5639c3b7f1a953356e0a294d7d137</x:v>
      </x:c>
      <x:c r="P88" s="2" t="str">
        <x:v>4b809aec9fc7bd2ca3b4f76e7d7493eb849d74992788c57482d3cc50ba6494ca</x:v>
      </x:c>
      <x:c r="Q88" s="2"/>
    </x:row>
    <x:row r="89" ht="24" customHeight="1">
      <x:c r="A89" s="2" t="str">
        <x:v>图像</x:v>
      </x:c>
      <x:c r="B89" s="2" t="str">
        <x:v>xz-9e</x:v>
      </x:c>
      <x:c r="C89" s="10" t="n">
        <x:v>3</x:v>
      </x:c>
      <x:c r="D89" s="10" t="str">
        <x:v>ok</x:v>
      </x:c>
      <x:c r="E89" s="8" t="n">
        <x:v>37898255</x:v>
      </x:c>
      <x:c r="F89" s="8" t="n">
        <x:v>37918720</x:v>
      </x:c>
      <x:c r="G89" s="8" t="n">
        <x:v>36888124</x:v>
      </x:c>
      <x:c r="H89" s="9" t="n">
        <x:v>10.595298208000258</x:v>
      </x:c>
      <x:c r="I89" s="9" t="n">
        <x:v>0.7517120830002568</x:v>
      </x:c>
      <x:c r="J89" s="8" t="n">
        <x:v>410353664</x:v>
      </x:c>
      <x:c r="K89" s="8" t="n">
        <x:v>39960576</x:v>
      </x:c>
      <x:c r="L89" s="10" t="n">
        <x:v>17</x:v>
      </x:c>
      <x:c r="M89" s="10" t="n">
        <x:v>17</x:v>
      </x:c>
      <x:c r="N89" s="9" t="n">
        <x:v>0.8109753749999982</x:v>
      </x:c>
      <x:c r="O89" s="2" t="str">
        <x:v>cf2f526781f4620e3830aca84fccb765892d6620029cce748dd46bc1de09499d</x:v>
      </x:c>
      <x:c r="P89" s="2" t="str">
        <x:v>4b809aec9fc7bd2ca3b4f76e7d7493eb849d74992788c57482d3cc50ba6494ca</x:v>
      </x:c>
      <x:c r="Q89" s="2"/>
    </x:row>
    <x:row r="90" ht="24" customHeight="1">
      <x:c r="A90" s="2" t="str">
        <x:v>图像</x:v>
      </x:c>
      <x:c r="B90" s="2" t="str">
        <x:v>zstd-3</x:v>
      </x:c>
      <x:c r="C90" s="10" t="n">
        <x:v>3</x:v>
      </x:c>
      <x:c r="D90" s="10" t="str">
        <x:v>ok</x:v>
      </x:c>
      <x:c r="E90" s="8" t="n">
        <x:v>37898255</x:v>
      </x:c>
      <x:c r="F90" s="8" t="n">
        <x:v>37918720</x:v>
      </x:c>
      <x:c r="G90" s="8" t="n">
        <x:v>37146562</x:v>
      </x:c>
      <x:c r="H90" s="9" t="n">
        <x:v>0.08721650000006775</x:v>
      </x:c>
      <x:c r="I90" s="9" t="n">
        <x:v>0.02443920799987609</x:v>
      </x:c>
      <x:c r="J90" s="8" t="n">
        <x:v>7749632</x:v>
      </x:c>
      <x:c r="K90" s="8" t="n">
        <x:v>7438336</x:v>
      </x:c>
      <x:c r="L90" s="10" t="n">
        <x:v>17</x:v>
      </x:c>
      <x:c r="M90" s="10" t="n">
        <x:v>17</x:v>
      </x:c>
      <x:c r="N90" s="9" t="n">
        <x:v>0.08299987500004136</x:v>
      </x:c>
      <x:c r="O90" s="2" t="str">
        <x:v>e9aaf954ed868a520d6ff2b4d27679a0d9196c31a2158c62e301e2726da39666</x:v>
      </x:c>
      <x:c r="P90" s="2" t="str">
        <x:v>4b809aec9fc7bd2ca3b4f76e7d7493eb849d74992788c57482d3cc50ba6494ca</x:v>
      </x:c>
      <x:c r="Q90" s="2"/>
    </x:row>
    <x:row r="91" ht="24" customHeight="1">
      <x:c r="A91" s="2" t="str">
        <x:v>图像</x:v>
      </x:c>
      <x:c r="B91" s="2" t="str">
        <x:v>zstd-19</x:v>
      </x:c>
      <x:c r="C91" s="10" t="n">
        <x:v>3</x:v>
      </x:c>
      <x:c r="D91" s="10" t="str">
        <x:v>ok</x:v>
      </x:c>
      <x:c r="E91" s="8" t="n">
        <x:v>37898255</x:v>
      </x:c>
      <x:c r="F91" s="8" t="n">
        <x:v>37918720</x:v>
      </x:c>
      <x:c r="G91" s="8" t="n">
        <x:v>36834042</x:v>
      </x:c>
      <x:c r="H91" s="9" t="n">
        <x:v>5.5699843330003205</x:v>
      </x:c>
      <x:c r="I91" s="9" t="n">
        <x:v>0.03996254100002261</x:v>
      </x:c>
      <x:c r="J91" s="8" t="n">
        <x:v>97107968</x:v>
      </x:c>
      <x:c r="K91" s="8" t="n">
        <x:v>13746176</x:v>
      </x:c>
      <x:c r="L91" s="10" t="n">
        <x:v>17</x:v>
      </x:c>
      <x:c r="M91" s="10" t="n">
        <x:v>17</x:v>
      </x:c>
      <x:c r="N91" s="9" t="n">
        <x:v>0.0989167089996954</x:v>
      </x:c>
      <x:c r="O91" s="2" t="str">
        <x:v>d64cc1b3d64232abbeafaa2f301ad5e101499689d49c62805b07332dc6692855</x:v>
      </x:c>
      <x:c r="P91" s="2" t="str">
        <x:v>4b809aec9fc7bd2ca3b4f76e7d7493eb849d74992788c57482d3cc50ba6494ca</x:v>
      </x:c>
      <x:c r="Q91" s="2"/>
    </x:row>
    <x:row r="92" ht="24" customHeight="1">
      <x:c r="A92" s="2" t="str">
        <x:v>图像</x:v>
      </x:c>
      <x:c r="B92" s="2" t="str">
        <x:v>zstd-22</x:v>
      </x:c>
      <x:c r="C92" s="10" t="n">
        <x:v>3</x:v>
      </x:c>
      <x:c r="D92" s="10" t="str">
        <x:v>ok</x:v>
      </x:c>
      <x:c r="E92" s="8" t="n">
        <x:v>37898255</x:v>
      </x:c>
      <x:c r="F92" s="8" t="n">
        <x:v>37918720</x:v>
      </x:c>
      <x:c r="G92" s="8" t="n">
        <x:v>36833562</x:v>
      </x:c>
      <x:c r="H92" s="9" t="n">
        <x:v>3.894527540999661</x:v>
      </x:c>
      <x:c r="I92" s="9" t="n">
        <x:v>0.04862491699987004</x:v>
      </x:c>
      <x:c r="J92" s="8" t="n">
        <x:v>696385536</x:v>
      </x:c>
      <x:c r="K92" s="8" t="n">
        <x:v>43024384</x:v>
      </x:c>
      <x:c r="L92" s="10" t="n">
        <x:v>17</x:v>
      </x:c>
      <x:c r="M92" s="10" t="n">
        <x:v>17</x:v>
      </x:c>
      <x:c r="N92" s="9" t="n">
        <x:v>0.10761804200001279</x:v>
      </x:c>
      <x:c r="O92" s="2" t="str">
        <x:v>93f046365a855c787260f221e6294ea98880090a61ec829c76e7d1babb9caf72</x:v>
      </x:c>
      <x:c r="P92" s="2" t="str">
        <x:v>4b809aec9fc7bd2ca3b4f76e7d7493eb849d74992788c57482d3cc50ba6494ca</x:v>
      </x:c>
      <x:c r="Q92" s="2"/>
    </x:row>
    <x:row r="93" ht="24" customHeight="1">
      <x:c r="A93" s="2" t="str">
        <x:v>图像</x:v>
      </x:c>
      <x:c r="B93" s="2" t="str">
        <x:v>brotli-6</x:v>
      </x:c>
      <x:c r="C93" s="10" t="n">
        <x:v>3</x:v>
      </x:c>
      <x:c r="D93" s="10" t="str">
        <x:v>ok</x:v>
      </x:c>
      <x:c r="E93" s="8" t="n">
        <x:v>37898255</x:v>
      </x:c>
      <x:c r="F93" s="8" t="n">
        <x:v>37918720</x:v>
      </x:c>
      <x:c r="G93" s="8" t="n">
        <x:v>36856478</x:v>
      </x:c>
      <x:c r="H93" s="9" t="n">
        <x:v>0.25490808399990783</x:v>
      </x:c>
      <x:c r="I93" s="9" t="n">
        <x:v>0.13615908400015542</x:v>
      </x:c>
      <x:c r="J93" s="8" t="n">
        <x:v>51871744</x:v>
      </x:c>
      <x:c r="K93" s="8" t="n">
        <x:v>31506432</x:v>
      </x:c>
      <x:c r="L93" s="10" t="n">
        <x:v>17</x:v>
      </x:c>
      <x:c r="M93" s="10" t="n">
        <x:v>17</x:v>
      </x:c>
      <x:c r="N93" s="9" t="n">
        <x:v>0.19555462500011345</x:v>
      </x:c>
      <x:c r="O93" s="2" t="str">
        <x:v>f36f580acce76f6d8507c6266c9858243c2f64616d07e56b5253b6da44433f11</x:v>
      </x:c>
      <x:c r="P93" s="2" t="str">
        <x:v>4b809aec9fc7bd2ca3b4f76e7d7493eb849d74992788c57482d3cc50ba6494ca</x:v>
      </x:c>
      <x:c r="Q93" s="2"/>
    </x:row>
    <x:row r="94" ht="24" customHeight="1">
      <x:c r="A94" s="2" t="str">
        <x:v>图像</x:v>
      </x:c>
      <x:c r="B94" s="2" t="str">
        <x:v>brotli-11</x:v>
      </x:c>
      <x:c r="C94" s="10" t="n">
        <x:v>3</x:v>
      </x:c>
      <x:c r="D94" s="10" t="str">
        <x:v>ok</x:v>
      </x:c>
      <x:c r="E94" s="8" t="n">
        <x:v>37898255</x:v>
      </x:c>
      <x:c r="F94" s="8" t="n">
        <x:v>37918720</x:v>
      </x:c>
      <x:c r="G94" s="8" t="n">
        <x:v>36695582</x:v>
      </x:c>
      <x:c r="H94" s="9" t="n">
        <x:v>77.06949541699987</x:v>
      </x:c>
      <x:c r="I94" s="9" t="n">
        <x:v>0.20533525000018926</x:v>
      </x:c>
      <x:c r="J94" s="8" t="n">
        <x:v>252297216</x:v>
      </x:c>
      <x:c r="K94" s="8" t="n">
        <x:v>29622272</x:v>
      </x:c>
      <x:c r="L94" s="10" t="n">
        <x:v>17</x:v>
      </x:c>
      <x:c r="M94" s="10" t="n">
        <x:v>17</x:v>
      </x:c>
      <x:c r="N94" s="9" t="n">
        <x:v>0.263746084000104</x:v>
      </x:c>
      <x:c r="O94" s="2" t="str">
        <x:v>59117617e6eb4fbcc1f2ed0cac4d11e03f193a9fd826f35e0e36fd849cc8eab1</x:v>
      </x:c>
      <x:c r="P94" s="2" t="str">
        <x:v>4b809aec9fc7bd2ca3b4f76e7d7493eb849d74992788c57482d3cc50ba6494ca</x:v>
      </x:c>
      <x:c r="Q94" s="2"/>
    </x:row>
    <x:row r="95" ht="24" customHeight="1">
      <x:c r="A95" s="2" t="str">
        <x:v>图像</x:v>
      </x:c>
      <x:c r="B95" s="2" t="str">
        <x:v>7z-lzma2-9</x:v>
      </x:c>
      <x:c r="C95" s="10" t="n">
        <x:v>3</x:v>
      </x:c>
      <x:c r="D95" s="10" t="str">
        <x:v>ok</x:v>
      </x:c>
      <x:c r="E95" s="8" t="n">
        <x:v>37898255</x:v>
      </x:c>
      <x:c r="F95" s="8" t="n">
        <x:v>37918720</x:v>
      </x:c>
      <x:c r="G95" s="8" t="n">
        <x:v>36892261</x:v>
      </x:c>
      <x:c r="H95" s="9" t="n">
        <x:v>8.323763291999967</x:v>
      </x:c>
      <x:c r="I95" s="9" t="n">
        <x:v>0.5309071249998851</x:v>
      </x:c>
      <x:c r="J95" s="8" t="n">
        <x:v>411779072</x:v>
      </x:c>
      <x:c r="K95" s="8" t="n">
        <x:v>80674816</x:v>
      </x:c>
      <x:c r="L95" s="10" t="n">
        <x:v>17</x:v>
      </x:c>
      <x:c r="M95" s="10" t="n">
        <x:v>17</x:v>
      </x:c>
      <x:c r="N95" s="9" t="n">
        <x:v>0.5908319589998428</x:v>
      </x:c>
      <x:c r="O95" s="2" t="str">
        <x:v>891a8ae3c0edd8a2a007016f6b8f433e322216387c395b528a17a81502b1576f</x:v>
      </x:c>
      <x:c r="P95" s="2" t="str">
        <x:v>4b809aec9fc7bd2ca3b4f76e7d7493eb849d74992788c57482d3cc50ba6494ca</x:v>
      </x:c>
      <x:c r="Q95" s="2"/>
    </x:row>
    <x:row r="96" ht="24" customHeight="1">
      <x:c r="A96" s="2" t="str">
        <x:v>图像</x:v>
      </x:c>
      <x:c r="B96" s="2" t="str">
        <x:v>7z-ppmd-9</x:v>
      </x:c>
      <x:c r="C96" s="10" t="n">
        <x:v>3</x:v>
      </x:c>
      <x:c r="D96" s="10" t="str">
        <x:v>ok</x:v>
      </x:c>
      <x:c r="E96" s="8" t="n">
        <x:v>37898255</x:v>
      </x:c>
      <x:c r="F96" s="8" t="n">
        <x:v>37918720</x:v>
      </x:c>
      <x:c r="G96" s="8" t="n">
        <x:v>37268394</x:v>
      </x:c>
      <x:c r="H96" s="9" t="n">
        <x:v>18.82418937500006</x:v>
      </x:c>
      <x:c r="I96" s="9" t="n">
        <x:v>19.88743145799981</x:v>
      </x:c>
      <x:c r="J96" s="8" t="n">
        <x:v>273285120</x:v>
      </x:c>
      <x:c r="K96" s="8" t="n">
        <x:v>272859136</x:v>
      </x:c>
      <x:c r="L96" s="10" t="n">
        <x:v>17</x:v>
      </x:c>
      <x:c r="M96" s="10" t="n">
        <x:v>17</x:v>
      </x:c>
      <x:c r="N96" s="9" t="n">
        <x:v>19.950714916999914</x:v>
      </x:c>
      <x:c r="O96" s="2" t="str">
        <x:v>1e35666f8923039216d934c3ad3afb2dd996a882425ce4d34222930c2ec80374</x:v>
      </x:c>
      <x:c r="P96" s="2" t="str">
        <x:v>4b809aec9fc7bd2ca3b4f76e7d7493eb849d74992788c57482d3cc50ba6494ca</x:v>
      </x:c>
      <x:c r="Q96" s="2"/>
    </x:row>
    <x:row r="97" ht="24" customHeight="1">
      <x:c r="A97" s="2" t="str">
        <x:v>图像</x:v>
      </x:c>
      <x:c r="B97" s="2" t="str">
        <x:v>zpaq-5</x:v>
      </x:c>
      <x:c r="C97" s="10" t="n">
        <x:v>3</x:v>
      </x:c>
      <x:c r="D97" s="10" t="str">
        <x:v>ok</x:v>
      </x:c>
      <x:c r="E97" s="8" t="n">
        <x:v>37898255</x:v>
      </x:c>
      <x:c r="F97" s="8" t="n">
        <x:v>37918720</x:v>
      </x:c>
      <x:c r="G97" s="8" t="n">
        <x:v>36402344</x:v>
      </x:c>
      <x:c r="H97" s="9" t="n">
        <x:v>133.964225875</x:v>
      </x:c>
      <x:c r="I97" s="9" t="n">
        <x:v>137.79962133300023</x:v>
      </x:c>
      <x:c r="J97" s="8" t="n">
        <x:v>800194560</x:v>
      </x:c>
      <x:c r="K97" s="8" t="n">
        <x:v>802537472</x:v>
      </x:c>
      <x:c r="L97" s="10" t="n">
        <x:v>17</x:v>
      </x:c>
      <x:c r="M97" s="10" t="n">
        <x:v>17</x:v>
      </x:c>
      <x:c r="N97" s="9" t="n">
        <x:v>137.86518054199996</x:v>
      </x:c>
      <x:c r="O97" s="2" t="str">
        <x:v>f575b778788cf61763cd51a01d735e41052482dfc6aa086fbe620824bf1d92a6</x:v>
      </x:c>
      <x:c r="P97" s="2" t="str">
        <x:v>4b809aec9fc7bd2ca3b4f76e7d7493eb849d74992788c57482d3cc50ba6494ca</x:v>
      </x:c>
      <x:c r="Q97" s="2"/>
    </x:row>
    <x:row r="98" ht="24" customHeight="1">
      <x:c r="A98" s="2" t="str">
        <x:v>图像</x:v>
      </x:c>
      <x:c r="B98" s="2" t="str">
        <x:v>store</x:v>
      </x:c>
      <x:c r="C98" s="10" t="n">
        <x:v>3</x:v>
      </x:c>
      <x:c r="D98" s="10" t="str">
        <x:v>ok</x:v>
      </x:c>
      <x:c r="E98" s="8" t="n">
        <x:v>37898255</x:v>
      </x:c>
      <x:c r="F98" s="8" t="n">
        <x:v>37918720</x:v>
      </x:c>
      <x:c r="G98" s="8" t="n">
        <x:v>37918720</x:v>
      </x:c>
      <x:c r="H98" s="9" t="n">
        <x:v>0.03728420900006313</x:v>
      </x:c>
      <x:c r="I98" s="9" t="n">
        <x:v>0.04605337500015594</x:v>
      </x:c>
      <x:c r="J98" s="8" t="n">
        <x:v>2113536</x:v>
      </x:c>
      <x:c r="K98" s="8" t="n">
        <x:v>2113536</x:v>
      </x:c>
      <x:c r="L98" s="10" t="n">
        <x:v>17</x:v>
      </x:c>
      <x:c r="M98" s="10" t="n">
        <x:v>17</x:v>
      </x:c>
      <x:c r="N98" s="9" t="n">
        <x:v>0.1062309170001754</x:v>
      </x:c>
      <x:c r="O98" s="2" t="str">
        <x:v>4b809aec9fc7bd2ca3b4f76e7d7493eb849d74992788c57482d3cc50ba6494ca</x:v>
      </x:c>
      <x:c r="P98" s="2" t="str">
        <x:v>4b809aec9fc7bd2ca3b4f76e7d7493eb849d74992788c57482d3cc50ba6494ca</x:v>
      </x:c>
      <x:c r="Q98" s="2"/>
    </x:row>
    <x:row r="99" ht="24" customHeight="1">
      <x:c r="A99" s="2" t="str">
        <x:v>图像</x:v>
      </x:c>
      <x:c r="B99" s="2" t="str">
        <x:v>gzip-9</x:v>
      </x:c>
      <x:c r="C99" s="10" t="n">
        <x:v>3</x:v>
      </x:c>
      <x:c r="D99" s="10" t="str">
        <x:v>ok</x:v>
      </x:c>
      <x:c r="E99" s="8" t="n">
        <x:v>37898255</x:v>
      </x:c>
      <x:c r="F99" s="8" t="n">
        <x:v>37918720</x:v>
      </x:c>
      <x:c r="G99" s="8" t="n">
        <x:v>37031307</x:v>
      </x:c>
      <x:c r="H99" s="9" t="n">
        <x:v>0.8314940830000523</x:v>
      </x:c>
      <x:c r="I99" s="9" t="n">
        <x:v>0.08927479200019661</x:v>
      </x:c>
      <x:c r="J99" s="8" t="n">
        <x:v>1507328</x:v>
      </x:c>
      <x:c r="K99" s="8" t="n">
        <x:v>1261568</x:v>
      </x:c>
      <x:c r="L99" s="10" t="n">
        <x:v>17</x:v>
      </x:c>
      <x:c r="M99" s="10" t="n">
        <x:v>17</x:v>
      </x:c>
      <x:c r="N99" s="9" t="n">
        <x:v>0.14813595800023904</x:v>
      </x:c>
      <x:c r="O99" s="2" t="str">
        <x:v>ad847fe70d3e137b5e8387fda98b77a9a48ef433e1215c008ca6bf8b9065bede</x:v>
      </x:c>
      <x:c r="P99" s="2" t="str">
        <x:v>4b809aec9fc7bd2ca3b4f76e7d7493eb849d74992788c57482d3cc50ba6494ca</x:v>
      </x:c>
      <x:c r="Q99" s="2"/>
    </x:row>
    <x:row r="100" ht="24" customHeight="1">
      <x:c r="A100" s="2" t="str">
        <x:v>完整资源包</x:v>
      </x:c>
      <x:c r="B100" s="2" t="str">
        <x:v>bzip2-9</x:v>
      </x:c>
      <x:c r="C100" s="10" t="n">
        <x:v>3</x:v>
      </x:c>
      <x:c r="D100" s="10" t="str">
        <x:v>ok</x:v>
      </x:c>
      <x:c r="E100" s="8" t="n">
        <x:v>167312523</x:v>
      </x:c>
      <x:c r="F100" s="8" t="n">
        <x:v>167342080</x:v>
      </x:c>
      <x:c r="G100" s="8" t="n">
        <x:v>166960408</x:v>
      </x:c>
      <x:c r="H100" s="9" t="n">
        <x:v>13.662647666999874</x:v>
      </x:c>
      <x:c r="I100" s="9" t="n">
        <x:v>6.489389667000069</x:v>
      </x:c>
      <x:c r="J100" s="8" t="n">
        <x:v>7815168</x:v>
      </x:c>
      <x:c r="K100" s="8" t="n">
        <x:v>4800512</x:v>
      </x:c>
      <x:c r="L100" s="10" t="n">
        <x:v>30</x:v>
      </x:c>
      <x:c r="M100" s="10" t="n">
        <x:v>30</x:v>
      </x:c>
      <x:c r="N100" s="9" t="n">
        <x:v>6.737274291999711</x:v>
      </x:c>
      <x:c r="O100" s="2" t="str">
        <x:v>efa50db8710933216301f84c3ba7c516db928c783b9b6e3b250e260de8bb1887</x:v>
      </x:c>
      <x:c r="P100" s="2" t="str">
        <x:v>038a63660ef13a8f4d1ea28fd35c4842b75e12f6ea1e7295e926d7c2db66abfc</x:v>
      </x:c>
      <x:c r="Q100" s="2"/>
    </x:row>
    <x:row r="101" ht="24" customHeight="1">
      <x:c r="A101" s="2" t="str">
        <x:v>完整资源包</x:v>
      </x:c>
      <x:c r="B101" s="2" t="str">
        <x:v>xz-9e</x:v>
      </x:c>
      <x:c r="C101" s="10" t="n">
        <x:v>3</x:v>
      </x:c>
      <x:c r="D101" s="10" t="str">
        <x:v>ok</x:v>
      </x:c>
      <x:c r="E101" s="8" t="n">
        <x:v>167312523</x:v>
      </x:c>
      <x:c r="F101" s="8" t="n">
        <x:v>167342080</x:v>
      </x:c>
      <x:c r="G101" s="8" t="n">
        <x:v>166173008</x:v>
      </x:c>
      <x:c r="H101" s="9" t="n">
        <x:v>70.83779479099985</x:v>
      </x:c>
      <x:c r="I101" s="9" t="n">
        <x:v>1.0667136659999414</x:v>
      </x:c>
      <x:c r="J101" s="8" t="n">
        <x:v>707166208</x:v>
      </x:c>
      <x:c r="K101" s="8" t="n">
        <x:v>69156864</x:v>
      </x:c>
      <x:c r="L101" s="10" t="n">
        <x:v>30</x:v>
      </x:c>
      <x:c r="M101" s="10" t="n">
        <x:v>30</x:v>
      </x:c>
      <x:c r="N101" s="9" t="n">
        <x:v>1.3183080419998987</x:v>
      </x:c>
      <x:c r="O101" s="2" t="str">
        <x:v>b68a5aa2de1a3028737cda86f31e01771b736f4521573136055d668fa62a3a3d</x:v>
      </x:c>
      <x:c r="P101" s="2" t="str">
        <x:v>038a63660ef13a8f4d1ea28fd35c4842b75e12f6ea1e7295e926d7c2db66abfc</x:v>
      </x:c>
      <x:c r="Q101" s="2"/>
    </x:row>
    <x:row r="102" ht="24" customHeight="1">
      <x:c r="A102" s="2" t="str">
        <x:v>完整资源包</x:v>
      </x:c>
      <x:c r="B102" s="2" t="str">
        <x:v>zstd-3</x:v>
      </x:c>
      <x:c r="C102" s="10" t="n">
        <x:v>3</x:v>
      </x:c>
      <x:c r="D102" s="10" t="str">
        <x:v>ok</x:v>
      </x:c>
      <x:c r="E102" s="8" t="n">
        <x:v>167312523</x:v>
      </x:c>
      <x:c r="F102" s="8" t="n">
        <x:v>167342080</x:v>
      </x:c>
      <x:c r="G102" s="8" t="n">
        <x:v>166492331</x:v>
      </x:c>
      <x:c r="H102" s="9" t="n">
        <x:v>0.13947641600043426</x:v>
      </x:c>
      <x:c r="I102" s="9" t="n">
        <x:v>0.09063595799989344</x:v>
      </x:c>
      <x:c r="J102" s="8" t="n">
        <x:v>8192000</x:v>
      </x:c>
      <x:c r="K102" s="8" t="n">
        <x:v>7421952</x:v>
      </x:c>
      <x:c r="L102" s="10" t="n">
        <x:v>30</x:v>
      </x:c>
      <x:c r="M102" s="10" t="n">
        <x:v>30</x:v>
      </x:c>
      <x:c r="N102" s="9" t="n">
        <x:v>0.34751825000012104</x:v>
      </x:c>
      <x:c r="O102" s="2" t="str">
        <x:v>b5441947223b14e54529c5451261761a3ba0532c2a5538cfab9f7f98e37998b7</x:v>
      </x:c>
      <x:c r="P102" s="2" t="str">
        <x:v>038a63660ef13a8f4d1ea28fd35c4842b75e12f6ea1e7295e926d7c2db66abfc</x:v>
      </x:c>
      <x:c r="Q102" s="2"/>
    </x:row>
    <x:row r="103" ht="24" customHeight="1">
      <x:c r="A103" s="2" t="str">
        <x:v>完整资源包</x:v>
      </x:c>
      <x:c r="B103" s="2" t="str">
        <x:v>zstd-19</x:v>
      </x:c>
      <x:c r="C103" s="10" t="n">
        <x:v>3</x:v>
      </x:c>
      <x:c r="D103" s="10" t="str">
        <x:v>ok</x:v>
      </x:c>
      <x:c r="E103" s="8" t="n">
        <x:v>167312523</x:v>
      </x:c>
      <x:c r="F103" s="8" t="n">
        <x:v>167342080</x:v>
      </x:c>
      <x:c r="G103" s="8" t="n">
        <x:v>166097286</x:v>
      </x:c>
      <x:c r="H103" s="9" t="n">
        <x:v>25.373244417000024</x:v>
      </x:c>
      <x:c r="I103" s="9" t="n">
        <x:v>0.08812524999984817</x:v>
      </x:c>
      <x:c r="J103" s="8" t="n">
        <x:v>97107968</x:v>
      </x:c>
      <x:c r="K103" s="8" t="n">
        <x:v>13762560</x:v>
      </x:c>
      <x:c r="L103" s="10" t="n">
        <x:v>30</x:v>
      </x:c>
      <x:c r="M103" s="10" t="n">
        <x:v>30</x:v>
      </x:c>
      <x:c r="N103" s="9" t="n">
        <x:v>0.3442157919998863</x:v>
      </x:c>
      <x:c r="O103" s="2" t="str">
        <x:v>14f57742f3e4274bbda5bcf453242f835b5dd5321b37effa453e0353e31d271c</x:v>
      </x:c>
      <x:c r="P103" s="2" t="str">
        <x:v>038a63660ef13a8f4d1ea28fd35c4842b75e12f6ea1e7295e926d7c2db66abfc</x:v>
      </x:c>
      <x:c r="Q103" s="2"/>
    </x:row>
    <x:row r="104" ht="24" customHeight="1">
      <x:c r="A104" s="2" t="str">
        <x:v>完整资源包</x:v>
      </x:c>
      <x:c r="B104" s="2" t="str">
        <x:v>zstd-22</x:v>
      </x:c>
      <x:c r="C104" s="10" t="n">
        <x:v>3</x:v>
      </x:c>
      <x:c r="D104" s="10" t="str">
        <x:v>ok</x:v>
      </x:c>
      <x:c r="E104" s="8" t="n">
        <x:v>167312523</x:v>
      </x:c>
      <x:c r="F104" s="8" t="n">
        <x:v>167342080</x:v>
      </x:c>
      <x:c r="G104" s="8" t="n">
        <x:v>166091741</x:v>
      </x:c>
      <x:c r="H104" s="9" t="n">
        <x:v>32.07937237499982</x:v>
      </x:c>
      <x:c r="I104" s="9" t="n">
        <x:v>0.14133479200017973</x:v>
      </x:c>
      <x:c r="J104" s="8" t="n">
        <x:v>876838912</x:v>
      </x:c>
      <x:c r="K104" s="8" t="n">
        <x:v>139476992</x:v>
      </x:c>
      <x:c r="L104" s="10" t="n">
        <x:v>30</x:v>
      </x:c>
      <x:c r="M104" s="10" t="n">
        <x:v>30</x:v>
      </x:c>
      <x:c r="N104" s="9" t="n">
        <x:v>0.3996888330002548</x:v>
      </x:c>
      <x:c r="O104" s="2" t="str">
        <x:v>4c41a9e75651c0db2a627f77652c9ed3334ffa7480ee3236b867901a57658f4d</x:v>
      </x:c>
      <x:c r="P104" s="2" t="str">
        <x:v>038a63660ef13a8f4d1ea28fd35c4842b75e12f6ea1e7295e926d7c2db66abfc</x:v>
      </x:c>
      <x:c r="Q104" s="2"/>
    </x:row>
    <x:row r="105" ht="24" customHeight="1">
      <x:c r="A105" s="2" t="str">
        <x:v>完整资源包</x:v>
      </x:c>
      <x:c r="B105" s="2" t="str">
        <x:v>brotli-6</x:v>
      </x:c>
      <x:c r="C105" s="10" t="n">
        <x:v>3</x:v>
      </x:c>
      <x:c r="D105" s="10" t="str">
        <x:v>ok</x:v>
      </x:c>
      <x:c r="E105" s="8" t="n">
        <x:v>167312523</x:v>
      </x:c>
      <x:c r="F105" s="8" t="n">
        <x:v>167342080</x:v>
      </x:c>
      <x:c r="G105" s="8" t="n">
        <x:v>166246011</x:v>
      </x:c>
      <x:c r="H105" s="9" t="n">
        <x:v>0.5497366660001717</x:v>
      </x:c>
      <x:c r="I105" s="9" t="n">
        <x:v>0.2012475420001465</x:v>
      </x:c>
      <x:c r="J105" s="8" t="n">
        <x:v>57720832</x:v>
      </x:c>
      <x:c r="K105" s="8" t="n">
        <x:v>28835840</x:v>
      </x:c>
      <x:c r="L105" s="10" t="n">
        <x:v>30</x:v>
      </x:c>
      <x:c r="M105" s="10" t="n">
        <x:v>30</x:v>
      </x:c>
      <x:c r="N105" s="9" t="n">
        <x:v>0.4517046249998202</x:v>
      </x:c>
      <x:c r="O105" s="2" t="str">
        <x:v>0e84132aa0a0332bdc50f84eab09db1237af516438555613d5c538877dcf68e1</x:v>
      </x:c>
      <x:c r="P105" s="2" t="str">
        <x:v>038a63660ef13a8f4d1ea28fd35c4842b75e12f6ea1e7295e926d7c2db66abfc</x:v>
      </x:c>
      <x:c r="Q105" s="2"/>
    </x:row>
    <x:row r="106" ht="24" customHeight="1">
      <x:c r="A106" s="2" t="str">
        <x:v>完整资源包</x:v>
      </x:c>
      <x:c r="B106" s="2" t="str">
        <x:v>brotli-11</x:v>
      </x:c>
      <x:c r="C106" s="10" t="n">
        <x:v>3</x:v>
      </x:c>
      <x:c r="D106" s="10" t="str">
        <x:v>ok</x:v>
      </x:c>
      <x:c r="E106" s="8" t="n">
        <x:v>167312523</x:v>
      </x:c>
      <x:c r="F106" s="8" t="n">
        <x:v>167342080</x:v>
      </x:c>
      <x:c r="G106" s="8" t="n">
        <x:v>166072291</x:v>
      </x:c>
      <x:c r="H106" s="9" t="n">
        <x:v>264.55227324999987</x:v>
      </x:c>
      <x:c r="I106" s="9" t="n">
        <x:v>0.30106920899970646</x:v>
      </x:c>
      <x:c r="J106" s="8" t="n">
        <x:v>215498752</x:v>
      </x:c>
      <x:c r="K106" s="8" t="n">
        <x:v>29671424</x:v>
      </x:c>
      <x:c r="L106" s="10" t="n">
        <x:v>30</x:v>
      </x:c>
      <x:c r="M106" s="10" t="n">
        <x:v>30</x:v>
      </x:c>
      <x:c r="N106" s="9" t="n">
        <x:v>0.5714352079999117</x:v>
      </x:c>
      <x:c r="O106" s="2" t="str">
        <x:v>004f8f11a4cfbd29b7ffecd233d257ff4ebcd1e77580da12f952c3f344a46a7e</x:v>
      </x:c>
      <x:c r="P106" s="2" t="str">
        <x:v>038a63660ef13a8f4d1ea28fd35c4842b75e12f6ea1e7295e926d7c2db66abfc</x:v>
      </x:c>
      <x:c r="Q106" s="2"/>
    </x:row>
    <x:row r="107" ht="24" customHeight="1">
      <x:c r="A107" s="2" t="str">
        <x:v>完整资源包</x:v>
      </x:c>
      <x:c r="B107" s="2" t="str">
        <x:v>7z-lzma2-9</x:v>
      </x:c>
      <x:c r="C107" s="10" t="n">
        <x:v>3</x:v>
      </x:c>
      <x:c r="D107" s="10" t="str">
        <x:v>ok</x:v>
      </x:c>
      <x:c r="E107" s="8" t="n">
        <x:v>167312523</x:v>
      </x:c>
      <x:c r="F107" s="8" t="n">
        <x:v>167342080</x:v>
      </x:c>
      <x:c r="G107" s="8" t="n">
        <x:v>166172180</x:v>
      </x:c>
      <x:c r="H107" s="9" t="n">
        <x:v>82.87088350000022</x:v>
      </x:c>
      <x:c r="I107" s="9" t="n">
        <x:v>0.6548980419997861</x:v>
      </x:c>
      <x:c r="J107" s="8" t="n">
        <x:v>1736687616</x:v>
      </x:c>
      <x:c r="K107" s="8" t="n">
        <x:v>347979776</x:v>
      </x:c>
      <x:c r="L107" s="10" t="n">
        <x:v>30</x:v>
      </x:c>
      <x:c r="M107" s="10" t="n">
        <x:v>30</x:v>
      </x:c>
      <x:c r="N107" s="9" t="n">
        <x:v>0.9159485000000132</x:v>
      </x:c>
      <x:c r="O107" s="2" t="str">
        <x:v>db3527e8ba0fcba18689a1294c3374d2ce53c90e2d733eb34e3ef5f1046bd131</x:v>
      </x:c>
      <x:c r="P107" s="2" t="str">
        <x:v>038a63660ef13a8f4d1ea28fd35c4842b75e12f6ea1e7295e926d7c2db66abfc</x:v>
      </x:c>
      <x:c r="Q107" s="2"/>
    </x:row>
    <x:row r="108" ht="24" customHeight="1">
      <x:c r="A108" s="2" t="str">
        <x:v>完整资源包</x:v>
      </x:c>
      <x:c r="B108" s="2" t="str">
        <x:v>7z-ppmd-9</x:v>
      </x:c>
      <x:c r="C108" s="10" t="n">
        <x:v>3</x:v>
      </x:c>
      <x:c r="D108" s="10" t="str">
        <x:v>ok</x:v>
      </x:c>
      <x:c r="E108" s="8" t="n">
        <x:v>167312523</x:v>
      </x:c>
      <x:c r="F108" s="8" t="n">
        <x:v>167342080</x:v>
      </x:c>
      <x:c r="G108" s="8" t="n">
        <x:v>169175545</x:v>
      </x:c>
      <x:c r="H108" s="9" t="n">
        <x:v>120.04342670799997</x:v>
      </x:c>
      <x:c r="I108" s="9" t="n">
        <x:v>125.72393933400008</x:v>
      </x:c>
      <x:c r="J108" s="8" t="n">
        <x:v>273858560</x:v>
      </x:c>
      <x:c r="K108" s="8" t="n">
        <x:v>272891904</x:v>
      </x:c>
      <x:c r="L108" s="10" t="n">
        <x:v>30</x:v>
      </x:c>
      <x:c r="M108" s="10" t="n">
        <x:v>30</x:v>
      </x:c>
      <x:c r="N108" s="9" t="n">
        <x:v>125.98519595800008</x:v>
      </x:c>
      <x:c r="O108" s="2" t="str">
        <x:v>688bf36f041e19acada7f268f30db7fcf96ab625079cff0b240d0b850ca91ff3</x:v>
      </x:c>
      <x:c r="P108" s="2" t="str">
        <x:v>038a63660ef13a8f4d1ea28fd35c4842b75e12f6ea1e7295e926d7c2db66abfc</x:v>
      </x:c>
      <x:c r="Q108" s="2"/>
    </x:row>
    <x:row r="109" ht="24" customHeight="1">
      <x:c r="A109" s="2" t="str">
        <x:v>完整资源包</x:v>
      </x:c>
      <x:c r="B109" s="2" t="str">
        <x:v>store</x:v>
      </x:c>
      <x:c r="C109" s="10" t="n">
        <x:v>3</x:v>
      </x:c>
      <x:c r="D109" s="10" t="str">
        <x:v>ok</x:v>
      </x:c>
      <x:c r="E109" s="8" t="n">
        <x:v>167312523</x:v>
      </x:c>
      <x:c r="F109" s="8" t="n">
        <x:v>167342080</x:v>
      </x:c>
      <x:c r="G109" s="8" t="n">
        <x:v>167342080</x:v>
      </x:c>
      <x:c r="H109" s="9" t="n">
        <x:v>0.07720791600013399</x:v>
      </x:c>
      <x:c r="I109" s="9" t="n">
        <x:v>0.08319133400027567</x:v>
      </x:c>
      <x:c r="J109" s="8" t="n">
        <x:v>2113536</x:v>
      </x:c>
      <x:c r="K109" s="8" t="n">
        <x:v>2113536</x:v>
      </x:c>
      <x:c r="L109" s="10" t="n">
        <x:v>30</x:v>
      </x:c>
      <x:c r="M109" s="10" t="n">
        <x:v>30</x:v>
      </x:c>
      <x:c r="N109" s="9" t="n">
        <x:v>0.33783641700028966</x:v>
      </x:c>
      <x:c r="O109" s="2" t="str">
        <x:v>038a63660ef13a8f4d1ea28fd35c4842b75e12f6ea1e7295e926d7c2db66abfc</x:v>
      </x:c>
      <x:c r="P109" s="2" t="str">
        <x:v>038a63660ef13a8f4d1ea28fd35c4842b75e12f6ea1e7295e926d7c2db66abfc</x:v>
      </x:c>
      <x:c r="Q109" s="2"/>
    </x:row>
    <x:row r="110" ht="24" customHeight="1">
      <x:c r="A110" s="2" t="str">
        <x:v>完整资源包</x:v>
      </x:c>
      <x:c r="B110" s="2" t="str">
        <x:v>gzip-9</x:v>
      </x:c>
      <x:c r="C110" s="10" t="n">
        <x:v>3</x:v>
      </x:c>
      <x:c r="D110" s="10" t="str">
        <x:v>ok</x:v>
      </x:c>
      <x:c r="E110" s="8" t="n">
        <x:v>167312523</x:v>
      </x:c>
      <x:c r="F110" s="8" t="n">
        <x:v>167342080</x:v>
      </x:c>
      <x:c r="G110" s="8" t="n">
        <x:v>166360668</x:v>
      </x:c>
      <x:c r="H110" s="9" t="n">
        <x:v>3.131907292000051</x:v>
      </x:c>
      <x:c r="I110" s="9" t="n">
        <x:v>0.13636479199976748</x:v>
      </x:c>
      <x:c r="J110" s="8" t="n">
        <x:v>1507328</x:v>
      </x:c>
      <x:c r="K110" s="8" t="n">
        <x:v>1261568</x:v>
      </x:c>
      <x:c r="L110" s="10" t="n">
        <x:v>30</x:v>
      </x:c>
      <x:c r="M110" s="10" t="n">
        <x:v>30</x:v>
      </x:c>
      <x:c r="N110" s="9" t="n">
        <x:v>0.39382812500025466</x:v>
      </x:c>
      <x:c r="O110" s="2" t="str">
        <x:v>c37c69236c20df08fb2628e2ce2146b1a128f1425c042483b1d6a4c9e69ce10e</x:v>
      </x:c>
      <x:c r="P110" s="2" t="str">
        <x:v>038a63660ef13a8f4d1ea28fd35c4842b75e12f6ea1e7295e926d7c2db66abfc</x:v>
      </x:c>
      <x:c r="Q110" s="2"/>
    </x:row>
    <x:row r="111" ht="24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</x:row>
    <x:row r="112" ht="24" customHeight="1">
      <x:c r="A112" s="2" t="str">
        <x:v>来源：dmg-results.json（固定模拟载荷，四组各一次）</x:v>
      </x:c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</x:row>
    <x:row r="113" ht="24" customHeight="1">
      <x:c r="A113" s="2" t="str">
        <x:v>制作峰值为 hdiutil CLI RSS；不代表整个镜像制作流程的总内存。</x:v>
      </x:c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</x:row>
    <x:row r="114" ht="44" customHeight="1">
      <x:c r="A114" s="7" t="str">
        <x:v>资源载荷</x:v>
      </x:c>
      <x:c r="B114" s="7" t="str">
        <x:v>镜像格式</x:v>
      </x:c>
      <x:c r="C114" s="7" t="str">
        <x:v>镜像 bytes</x:v>
      </x:c>
      <x:c r="D114" s="7" t="str">
        <x:v>制作秒</x:v>
      </x:c>
      <x:c r="E114" s="7" t="str">
        <x:v>制作峰值 RSS bytes</x:v>
      </x:c>
      <x:c r="F114" s="7" t="str">
        <x:v>恢复文件数</x:v>
      </x:c>
      <x:c r="G114" s="7" t="str">
        <x:v>挂载核验</x:v>
      </x:c>
      <x:c r="H114" s="7" t="str">
        <x:v>镜像 SHA-256</x:v>
      </x:c>
      <x:c r="I114" s="2"/>
      <x:c r="J114" s="2"/>
      <x:c r="K114" s="2"/>
      <x:c r="L114" s="2"/>
      <x:c r="M114" s="2"/>
      <x:c r="N114" s="2"/>
      <x:c r="O114" s="2"/>
      <x:c r="P114" s="2"/>
      <x:c r="Q114" s="2"/>
    </x:row>
    <x:row r="115" ht="24" customHeight="1">
      <x:c r="A115" s="2" t="str">
        <x:v>plain</x:v>
      </x:c>
      <x:c r="B115" s="2" t="str">
        <x:v>UDZO</x:v>
      </x:c>
      <x:c r="C115" s="8" t="n">
        <x:v>190751686</x:v>
      </x:c>
      <x:c r="D115" s="9" t="n">
        <x:v>22.25244266599998</x:v>
      </x:c>
      <x:c r="E115" s="8" t="n">
        <x:v>4161536</x:v>
      </x:c>
      <x:c r="F115" s="8" t="n">
        <x:v>30</x:v>
      </x:c>
      <x:c r="G115" s="20" t="b">
        <x:v>1</x:v>
      </x:c>
      <x:c r="H115" s="2" t="str">
        <x:v>405a1fb16a5791125fe918b937d8329ce9de049ee9ed8893fe23c7ed64b7ba5a</x:v>
      </x:c>
      <x:c r="I115" s="2"/>
      <x:c r="J115" s="2"/>
      <x:c r="K115" s="2"/>
      <x:c r="L115" s="2"/>
      <x:c r="M115" s="2"/>
      <x:c r="N115" s="2"/>
      <x:c r="O115" s="2"/>
      <x:c r="P115" s="2"/>
      <x:c r="Q115" s="2"/>
    </x:row>
    <x:row r="116" ht="24" customHeight="1">
      <x:c r="A116" s="2" t="str">
        <x:v>compressed</x:v>
      </x:c>
      <x:c r="B116" s="2" t="str">
        <x:v>UDZO</x:v>
      </x:c>
      <x:c r="C116" s="8" t="n">
        <x:v>190143814</x:v>
      </x:c>
      <x:c r="D116" s="9" t="n">
        <x:v>10.12205775000001</x:v>
      </x:c>
      <x:c r="E116" s="8" t="n">
        <x:v>4292608</x:v>
      </x:c>
      <x:c r="F116" s="8" t="n">
        <x:v>30</x:v>
      </x:c>
      <x:c r="G116" s="20" t="b">
        <x:v>1</x:v>
      </x:c>
      <x:c r="H116" s="2" t="str">
        <x:v>778dcdd53ad2332e8216f5ad558d00146b1cc210c606b58bc04fbe00c8285470</x:v>
      </x:c>
      <x:c r="I116" s="2"/>
      <x:c r="J116" s="2"/>
      <x:c r="K116" s="2"/>
      <x:c r="L116" s="2"/>
      <x:c r="M116" s="2"/>
      <x:c r="N116" s="2"/>
      <x:c r="O116" s="2"/>
      <x:c r="P116" s="2"/>
      <x:c r="Q116" s="2"/>
    </x:row>
    <x:row r="117" ht="24" customHeight="1">
      <x:c r="A117" s="2" t="str">
        <x:v>plain</x:v>
      </x:c>
      <x:c r="B117" s="2" t="str">
        <x:v>ULMO</x:v>
      </x:c>
      <x:c r="C117" s="8" t="n">
        <x:v>183576328</x:v>
      </x:c>
      <x:c r="D117" s="9" t="n">
        <x:v>36.32286341600002</x:v>
      </x:c>
      <x:c r="E117" s="8" t="n">
        <x:v>4243456</x:v>
      </x:c>
      <x:c r="F117" s="8" t="n">
        <x:v>30</x:v>
      </x:c>
      <x:c r="G117" s="20" t="b">
        <x:v>1</x:v>
      </x:c>
      <x:c r="H117" s="2" t="str">
        <x:v>550a93eebfd38621ce9318bf7fa283e96ff38d2e8564533e4a48ffd7c404f6c6</x:v>
      </x:c>
      <x:c r="I117" s="2"/>
      <x:c r="J117" s="2"/>
      <x:c r="K117" s="2"/>
      <x:c r="L117" s="2"/>
      <x:c r="M117" s="2"/>
      <x:c r="N117" s="2"/>
      <x:c r="O117" s="2"/>
      <x:c r="P117" s="2"/>
      <x:c r="Q117" s="2"/>
    </x:row>
    <x:row r="118" ht="24" customHeight="1">
      <x:c r="A118" s="2" t="str">
        <x:v>compressed</x:v>
      </x:c>
      <x:c r="B118" s="2" t="str">
        <x:v>ULMO</x:v>
      </x:c>
      <x:c r="C118" s="8" t="n">
        <x:v>183308698</x:v>
      </x:c>
      <x:c r="D118" s="9" t="n">
        <x:v>34.34996512499998</x:v>
      </x:c>
      <x:c r="E118" s="8" t="n">
        <x:v>4259840</x:v>
      </x:c>
      <x:c r="F118" s="8" t="n">
        <x:v>30</x:v>
      </x:c>
      <x:c r="G118" s="20" t="b">
        <x:v>1</x:v>
      </x:c>
      <x:c r="H118" s="2" t="str">
        <x:v>03bd3b26df46d53ba6877525834ec5851ea3b3b5f6ee95409219265b5e37f4e2</x:v>
      </x:c>
      <x:c r="I118" s="2"/>
      <x:c r="J118" s="2"/>
      <x:c r="K118" s="2"/>
      <x:c r="L118" s="2"/>
      <x:c r="M118" s="2"/>
      <x:c r="N118" s="2"/>
      <x:c r="O118" s="2"/>
      <x:c r="P118" s="2"/>
      <x:c r="Q118" s="2"/>
    </x:row>
    <x:row r="119" ht="24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</x:row>
    <x:row r="120" ht="24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</x:row>
    <x:row r="121" ht="24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</x:row>
    <x:row r="122" ht="24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</x:row>
    <x:row r="123" ht="24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</x:row>
  </x:sheetData>
  <x:conditionalFormatting sqref="D7:D110">
    <x:cfRule type="containsText" dxfId="0" priority="1" operator="containsText" text="timeout"/>
  </x:conditionalFormatting>
  <x:pageMargins left="0.7" right="0.7" top="0.75" bottom="0.75" header="0.3" footer="0.3"/>
  <x:tableParts count="2">
    <x:tablePart xmlns:r="http://schemas.openxmlformats.org/officeDocument/2006/relationships" r:id="R5071338a4e3e40af"/>
    <x:tablePart xmlns:r="http://schemas.openxmlformats.org/officeDocument/2006/relationships" r:id="Rbfd670e1c1184a58"/>
  </x:tableParts>
</x:worksheet>
</file>